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3" lowestEdited="5" rupBuild="9302"/>
  <workbookPr defaultThemeVersion="153222"/>
  <bookViews>
    <workbookView xWindow="0" yWindow="0" windowWidth="19815" windowHeight="7860" activeTab="1" tabRatio="777"/>
  </bookViews>
  <sheets>
    <sheet name="使用前须知" sheetId="9" r:id="rId1"/>
    <sheet name="使用前须知 (2)" sheetId="11" r:id="rId2"/>
    <sheet name="汇总(保护)" sheetId="1" r:id="rId3"/>
    <sheet name="白卡" sheetId="2" r:id="rId4"/>
    <sheet name="绿卡" sheetId="3" r:id="rId5"/>
    <sheet name="蓝卡" sheetId="4" r:id="rId6"/>
    <sheet name="紫卡" sheetId="5" r:id="rId7"/>
    <sheet name="橙卡" sheetId="6" r:id="rId8"/>
    <sheet name="虹卡" sheetId="7" r:id="rId9"/>
    <sheet name="黑卡" sheetId="8" r:id="rId10"/>
  </sheets>
  <definedNames>
    <definedName name="_xlnm._FilterDatabase" localSheetId="3" hidden="1">白卡!$B$1:$B$421</definedName>
    <definedName name="_xlnm._FilterDatabase" localSheetId="4" hidden="1">绿卡!$A$1:$E$602</definedName>
    <definedName name="_xlnm._FilterDatabase" localSheetId="5" hidden="1">蓝卡!$B$1:$B$479</definedName>
    <definedName name="_xlnm._FilterDatabase" localSheetId="6" hidden="1">紫卡!$B$1:$B$232</definedName>
    <definedName name="_xlnm._FilterDatabase" localSheetId="7" hidden="1">橙卡!$A$1:$E$103</definedName>
    <definedName name="_xlnm._FilterDatabase" localSheetId="8" hidden="1">虹卡!$A$1:$E$39</definedName>
  </definedNames>
  <calcPr calcId="191029"/>
</workbook>
</file>

<file path=xl/sharedStrings.xml><?xml version="1.0" encoding="utf-8"?>
<sst xmlns="http://schemas.openxmlformats.org/spreadsheetml/2006/main" uniqueCount="3017" count="3017">
  <si>
    <t>本卡牌库初始数据源于原A岛的“一点山河笔，万界翡翠梦”</t>
  </si>
  <si>
    <r>
      <rPr>
        <charset val="134"/>
        <sz val="11"/>
        <color rgb="FF000000"/>
        <rFont val="宋体"/>
      </rPr>
      <t>1.库内数据系各位匿名肥哥提供，</t>
    </r>
    <r>
      <rPr>
        <b/>
        <charset val="134"/>
        <sz val="11"/>
        <color rgb="FF000000"/>
        <rFont val="宋体"/>
      </rPr>
      <t>请勿轻易修改他人数据（无描述的可自由添加）</t>
    </r>
  </si>
  <si>
    <r>
      <rPr>
        <charset val="134"/>
        <sz val="11"/>
        <rFont val="宋体"/>
      </rPr>
      <t>2.</t>
    </r>
    <r>
      <rPr>
        <b/>
        <charset val="134"/>
        <sz val="11"/>
        <rFont val="宋体"/>
      </rPr>
      <t>自觉遵守匿名原则</t>
    </r>
    <r>
      <rPr>
        <charset val="134"/>
        <sz val="11"/>
        <rFont val="宋体"/>
      </rPr>
      <t>，请勿使用任何让他人造成困扰的操作，包括但不限于删除数据、胡言乱语等</t>
    </r>
  </si>
  <si>
    <r>
      <rPr>
        <charset val="134"/>
        <sz val="11"/>
        <rFont val="宋体"/>
      </rPr>
      <t>3.本牌库内容的应用遵守以下</t>
    </r>
    <r>
      <rPr>
        <b/>
        <charset val="134"/>
        <sz val="11"/>
        <rFont val="宋体"/>
      </rPr>
      <t>CC BY-NC 4.0协议(署名-非商业性使用)</t>
    </r>
    <r>
      <rPr>
        <charset val="134"/>
        <sz val="11"/>
        <rFont val="宋体"/>
      </rPr>
      <t>，署名仅要求标注“灵感来源A岛公共牌库”或“灵感来源A岛”</t>
    </r>
  </si>
  <si>
    <t>署名-非商业性使用 4.0 国际版 (CC BY-NC 4.0)</t>
  </si>
  <si>
    <t>这是一份易于普通人阅读与理解的许可证文本（并非法律性质的授权条款的替代内容）。</t>
  </si>
  <si>
    <t>你可以自由地：</t>
  </si>
  <si>
    <t>1.分享 – 在任何媒介或格式下再分发、传播本创作。</t>
  </si>
  <si>
    <t>2.修改 – 重混、转换、依据本创作进行再创作。</t>
  </si>
  <si>
    <t>3.只要遵守下述条款规定，授权人将不能撤回你使用本创作的自由。</t>
  </si>
  <si>
    <t>唯须遵循以下条款：</t>
  </si>
  <si>
    <t>1.署名 – 你必须以给予姓名标注，并提供本许可证的链接。同时你需要声明公开的创作是否经过修改。你可以采用恰当的形式将相关信息表述出来，但不得以任何形式暗示授权人已正式认可了你以及你的使用行为。</t>
  </si>
  <si>
    <t>2.非商业性 – 你不得将本创作运用于商业目的。</t>
  </si>
  <si>
    <t>3.不得增加额外限制 – 你不能增设任何法律限制或是技术限制，来限制他人进行本许可证已经允许的行为。</t>
  </si>
  <si>
    <t>声明：</t>
  </si>
  <si>
    <t>当你使用本创作中属于公众领域的元素，或当法律有额外或限制条款允许你的使用行为时，则你不需要遵守本授权协议。</t>
  </si>
  <si>
    <t>不提供保证。本授权协议并不能完全提供你预期需要的所有许可，例如：公共形象权，隐私权，著作人身权等其他权利，这些权利的法律限制可能会限制你使用本创作。</t>
  </si>
  <si>
    <t>类型</t>
  </si>
  <si>
    <t>总计</t>
  </si>
  <si>
    <t>计划数</t>
  </si>
  <si>
    <t>白色品质</t>
  </si>
  <si>
    <t>白卡</t>
  </si>
  <si>
    <t>/500</t>
  </si>
  <si>
    <t>严重不足</t>
  </si>
  <si>
    <t>编号</t>
  </si>
  <si>
    <t>名称</t>
  </si>
  <si>
    <t>描述</t>
  </si>
  <si>
    <t>绿卡</t>
  </si>
  <si>
    <t>/200</t>
  </si>
  <si>
    <t>√</t>
  </si>
  <si>
    <t>生物</t>
  </si>
  <si>
    <t>蓝卡</t>
  </si>
  <si>
    <t>/150</t>
  </si>
  <si>
    <t>器物</t>
  </si>
  <si>
    <t>紫卡</t>
  </si>
  <si>
    <t>/100</t>
  </si>
  <si>
    <t>场所</t>
  </si>
  <si>
    <t>橙卡</t>
  </si>
  <si>
    <t>/45</t>
  </si>
  <si>
    <t>事件</t>
  </si>
  <si>
    <t>虹卡</t>
  </si>
  <si>
    <t>/5</t>
  </si>
  <si>
    <t>概念</t>
  </si>
  <si>
    <t>黑卡</t>
  </si>
  <si>
    <t>绿色品质</t>
  </si>
  <si>
    <t>总卡数</t>
  </si>
  <si>
    <t>扒卡来源</t>
  </si>
  <si>
    <t>A岛串号</t>
  </si>
  <si>
    <t>如何刷新？</t>
  </si>
  <si>
    <t>白色生物</t>
  </si>
  <si>
    <t>炼金团</t>
  </si>
  <si>
    <r>
      <rPr>
        <charset val="134"/>
        <sz val="11"/>
        <rFont val="宋体"/>
      </rPr>
      <t>1.本地文件请按</t>
    </r>
    <r>
      <rPr>
        <b/>
        <charset val="134"/>
        <sz val="11"/>
        <color rgb="FFFF0000"/>
        <rFont val="宋体"/>
      </rPr>
      <t>F9</t>
    </r>
  </si>
  <si>
    <t>绿色生物</t>
  </si>
  <si>
    <t>/40</t>
  </si>
  <si>
    <t>神格祝愿</t>
  </si>
  <si>
    <t>2.WPS网页请点上方的</t>
  </si>
  <si>
    <t>蓝色生物</t>
  </si>
  <si>
    <t>/30</t>
  </si>
  <si>
    <t>“公式”-“重新计算”</t>
  </si>
  <si>
    <t>紫色生物</t>
  </si>
  <si>
    <t>/20</t>
  </si>
  <si>
    <t>蓝色品质</t>
  </si>
  <si>
    <t>橙色生物</t>
  </si>
  <si>
    <t>/9</t>
  </si>
  <si>
    <t>虹色生物</t>
  </si>
  <si>
    <t>/1</t>
  </si>
  <si>
    <t>黑色生物</t>
  </si>
  <si>
    <t>白色器物</t>
  </si>
  <si>
    <t>绿色器物</t>
  </si>
  <si>
    <t>蓝色器物</t>
  </si>
  <si>
    <t>紫色品质</t>
  </si>
  <si>
    <t>紫色器物</t>
  </si>
  <si>
    <t>橙色器物</t>
  </si>
  <si>
    <t>虹色器物</t>
  </si>
  <si>
    <t>黑色器物</t>
  </si>
  <si>
    <t>白色场所</t>
  </si>
  <si>
    <t>绿色场所</t>
  </si>
  <si>
    <t>橙色品质</t>
  </si>
  <si>
    <t>蓝色场所</t>
  </si>
  <si>
    <t>紫色场所</t>
  </si>
  <si>
    <t>橙色场所</t>
  </si>
  <si>
    <t>虹色场所</t>
  </si>
  <si>
    <t>黑色场所</t>
  </si>
  <si>
    <t>白色事件</t>
  </si>
  <si>
    <r>
      <rPr>
        <b/>
        <charset val="134"/>
        <sz val="11"/>
        <color rgb="FFFF0000"/>
        <rFont val="宋体"/>
      </rPr>
      <t>☆</t>
    </r>
    <r>
      <rPr>
        <b/>
        <charset val="134"/>
        <sz val="11"/>
        <color rgb="FFFFC000"/>
        <rFont val="宋体"/>
      </rPr>
      <t>☆</t>
    </r>
    <r>
      <rPr>
        <b/>
        <charset val="134"/>
        <sz val="11"/>
        <color rgb="FFFFFF00"/>
        <rFont val="宋体"/>
      </rPr>
      <t>虹</t>
    </r>
    <r>
      <rPr>
        <b/>
        <charset val="134"/>
        <sz val="11"/>
        <color rgb="FF92D050"/>
        <rFont val="宋体"/>
      </rPr>
      <t>色</t>
    </r>
    <r>
      <rPr>
        <b/>
        <charset val="134"/>
        <sz val="11"/>
        <color rgb="FF00B050"/>
        <rFont val="宋体"/>
      </rPr>
      <t>品</t>
    </r>
    <r>
      <rPr>
        <b/>
        <charset val="134"/>
        <sz val="11"/>
        <color rgb="FF00B0F0"/>
        <rFont val="宋体"/>
      </rPr>
      <t>质</t>
    </r>
    <r>
      <rPr>
        <b/>
        <charset val="134"/>
        <sz val="11"/>
        <color rgb="FF0070C0"/>
        <rFont val="宋体"/>
      </rPr>
      <t>☆</t>
    </r>
    <r>
      <rPr>
        <b/>
        <charset val="134"/>
        <sz val="11"/>
        <color rgb="FF7030A0"/>
        <rFont val="宋体"/>
      </rPr>
      <t>☆</t>
    </r>
  </si>
  <si>
    <t>绿色事件</t>
  </si>
  <si>
    <t>蓝色事件</t>
  </si>
  <si>
    <t>紫色事件</t>
  </si>
  <si>
    <t>橙色事件</t>
  </si>
  <si>
    <t>虹色事件</t>
  </si>
  <si>
    <t>黑色事件</t>
  </si>
  <si>
    <t>黑色品质</t>
  </si>
  <si>
    <t>白色概念</t>
  </si>
  <si>
    <t>不足</t>
  </si>
  <si>
    <t>绿色概念</t>
  </si>
  <si>
    <t>蓝色概念</t>
  </si>
  <si>
    <t>紫色概念</t>
  </si>
  <si>
    <t>橙色概念</t>
  </si>
  <si>
    <t>虹色概念</t>
  </si>
  <si>
    <t>黑色概念</t>
  </si>
  <si>
    <t>最大数</t>
  </si>
  <si>
    <t>随机卡号</t>
  </si>
  <si>
    <t>卡牌类型</t>
  </si>
  <si>
    <t>卡牌名称</t>
  </si>
  <si>
    <t>卡牌描述</t>
  </si>
  <si>
    <t>序号</t>
  </si>
  <si>
    <t>卡名</t>
  </si>
  <si>
    <t>叙述</t>
  </si>
  <si>
    <t>来源</t>
  </si>
  <si>
    <t>火</t>
  </si>
  <si>
    <t>土</t>
  </si>
  <si>
    <t>金</t>
  </si>
  <si>
    <t>水</t>
  </si>
  <si>
    <t>木</t>
  </si>
  <si>
    <t>火花</t>
  </si>
  <si>
    <t>容器</t>
  </si>
  <si>
    <t>埏埴以为器，当其无，有器之用。</t>
  </si>
  <si>
    <t>泥巴</t>
  </si>
  <si>
    <t>水蒸气</t>
  </si>
  <si>
    <t>泥坯</t>
  </si>
  <si>
    <t>石头</t>
  </si>
  <si>
    <t>金沙</t>
  </si>
  <si>
    <t>土堆</t>
  </si>
  <si>
    <t>树</t>
  </si>
  <si>
    <t>森林</t>
  </si>
  <si>
    <t>陶罐</t>
  </si>
  <si>
    <t>海带</t>
  </si>
  <si>
    <t>火灾</t>
  </si>
  <si>
    <t>腌海带</t>
  </si>
  <si>
    <t>金粉</t>
  </si>
  <si>
    <t>古树</t>
  </si>
  <si>
    <t>金子</t>
  </si>
  <si>
    <t>丘陵</t>
  </si>
  <si>
    <t>山岭</t>
  </si>
  <si>
    <t>爆炸</t>
  </si>
  <si>
    <t>人类</t>
  </si>
  <si>
    <t>山岳</t>
  </si>
  <si>
    <t>小孩</t>
  </si>
  <si>
    <t>沙子</t>
  </si>
  <si>
    <t>湖泊</t>
  </si>
  <si>
    <t>能量</t>
  </si>
  <si>
    <t>海洋</t>
  </si>
  <si>
    <t>玻璃</t>
  </si>
  <si>
    <t>岛屿</t>
  </si>
  <si>
    <t>陨石</t>
  </si>
  <si>
    <t>电</t>
  </si>
  <si>
    <t>地震</t>
  </si>
  <si>
    <t>物质</t>
  </si>
  <si>
    <t>电线</t>
  </si>
  <si>
    <t>电网</t>
  </si>
  <si>
    <t>文艺作品</t>
  </si>
  <si>
    <t>村庄</t>
  </si>
  <si>
    <t>城镇</t>
  </si>
  <si>
    <t>国家</t>
  </si>
  <si>
    <t>城市</t>
  </si>
  <si>
    <t>联合国</t>
  </si>
  <si>
    <t>国土</t>
  </si>
  <si>
    <t>历史</t>
  </si>
  <si>
    <t>战时政府</t>
  </si>
  <si>
    <t>网络</t>
  </si>
  <si>
    <t>现代化</t>
  </si>
  <si>
    <t>工程师</t>
  </si>
  <si>
    <t>网民</t>
  </si>
  <si>
    <t>局域网</t>
  </si>
  <si>
    <t>亚文化</t>
  </si>
  <si>
    <t>大型局域网</t>
  </si>
  <si>
    <t>梗</t>
  </si>
  <si>
    <t>现代人</t>
  </si>
  <si>
    <t>互联网</t>
  </si>
  <si>
    <t>货币</t>
  </si>
  <si>
    <t>墙</t>
  </si>
  <si>
    <t>微博</t>
  </si>
  <si>
    <t>瓶装水</t>
  </si>
  <si>
    <t>海带农场</t>
  </si>
  <si>
    <t>智障</t>
  </si>
  <si>
    <t>农场</t>
  </si>
  <si>
    <t>生态球</t>
  </si>
  <si>
    <t>农民</t>
  </si>
  <si>
    <t>林场</t>
  </si>
  <si>
    <t>《一九八四》</t>
  </si>
  <si>
    <t>同人创作</t>
  </si>
  <si>
    <t>大规模林场</t>
  </si>
  <si>
    <t>灌溉</t>
  </si>
  <si>
    <t>殖民</t>
  </si>
  <si>
    <t>发达国家</t>
  </si>
  <si>
    <t>《动物庄园》</t>
  </si>
  <si>
    <t>cookie</t>
  </si>
  <si>
    <t>亵渎</t>
  </si>
  <si>
    <t>科学课本</t>
  </si>
  <si>
    <t>真夏夜的淫梦</t>
  </si>
  <si>
    <t>匈奴</t>
  </si>
  <si>
    <t>冷笑话</t>
  </si>
  <si>
    <t>无花果树</t>
  </si>
  <si>
    <t>匿名论坛</t>
  </si>
  <si>
    <t>网银</t>
  </si>
  <si>
    <t>《变形金刚》</t>
  </si>
  <si>
    <t>网红</t>
  </si>
  <si>
    <t>电灯</t>
  </si>
  <si>
    <t>版图</t>
  </si>
  <si>
    <t>信仰</t>
  </si>
  <si>
    <t>偶像</t>
  </si>
  <si>
    <t>科学</t>
  </si>
  <si>
    <t>科学家</t>
  </si>
  <si>
    <t>金属</t>
  </si>
  <si>
    <t>合作直播</t>
  </si>
  <si>
    <t>建筑学</t>
  </si>
  <si>
    <t>迷信</t>
  </si>
  <si>
    <t>内涵段子</t>
  </si>
  <si>
    <t>直播网站</t>
  </si>
  <si>
    <t>材料学家</t>
  </si>
  <si>
    <t>皈依</t>
  </si>
  <si>
    <t>合金</t>
  </si>
  <si>
    <t>社会学</t>
  </si>
  <si>
    <t>国际学</t>
  </si>
  <si>
    <t>电脑病毒</t>
  </si>
  <si>
    <t>枪</t>
  </si>
  <si>
    <t>炮</t>
  </si>
  <si>
    <t>驯化</t>
  </si>
  <si>
    <t>果树</t>
  </si>
  <si>
    <t>黑客</t>
  </si>
  <si>
    <t>解体</t>
  </si>
  <si>
    <t>集体农庄</t>
  </si>
  <si>
    <t>奴隶</t>
  </si>
  <si>
    <t>废土</t>
  </si>
  <si>
    <t>沉没</t>
  </si>
  <si>
    <t>藩属国</t>
  </si>
  <si>
    <t>土著神话</t>
  </si>
  <si>
    <t>阴阳</t>
  </si>
  <si>
    <t>树苗</t>
  </si>
  <si>
    <t>沉岛</t>
  </si>
  <si>
    <t>岛又没啦！</t>
  </si>
  <si>
    <t>劫匪</t>
  </si>
  <si>
    <t>岛民</t>
  </si>
  <si>
    <t>自动售货机</t>
  </si>
  <si>
    <t>出售各种口味可乐…等等，为什么有百事？</t>
  </si>
  <si>
    <t>碳酸水枪</t>
  </si>
  <si>
    <t>Biu~啊好粘——</t>
  </si>
  <si>
    <t>可口可乐搬运工</t>
  </si>
  <si>
    <t>我们不生产可乐，我们只是快乐的搬运工。</t>
  </si>
  <si>
    <t>巨龙传说</t>
  </si>
  <si>
    <t>这里流传着一个古老的童谣。</t>
  </si>
  <si>
    <t>无效祷告</t>
  </si>
  <si>
    <t>你所祈祷的神灵不在神国或已陨落，请稍后再试。</t>
  </si>
  <si>
    <t>水能的发现</t>
  </si>
  <si>
    <t>防洪蓄水，丰产富民。</t>
  </si>
  <si>
    <t>水能的滥用</t>
  </si>
  <si>
    <t>研究表明，这条江河的生态已经遭受了毁灭性破坏。</t>
  </si>
  <si>
    <t>大坝决堤</t>
  </si>
  <si>
    <t>水漫千里。</t>
  </si>
  <si>
    <t>灵光一闪</t>
  </si>
  <si>
    <t>个人、团体、企业、国家、世界。谁都不会拒绝这美妙的灵感！</t>
  </si>
  <si>
    <t>产能过剩</t>
  </si>
  <si>
    <t>这是危机，也是机遇。</t>
  </si>
  <si>
    <t>能源枯竭</t>
  </si>
  <si>
    <t>即使是可乐，也不是无穷无尽的。</t>
  </si>
  <si>
    <t>可乐狂热者</t>
  </si>
  <si>
    <t>胃病和蛀牙？喝了这一瓶再说！吨吨吨……</t>
  </si>
  <si>
    <t>数学</t>
  </si>
  <si>
    <t>宝箱</t>
  </si>
  <si>
    <t>解释权</t>
  </si>
  <si>
    <t>清道夫</t>
  </si>
  <si>
    <t>圣人</t>
  </si>
  <si>
    <t>图腾</t>
  </si>
  <si>
    <t>信任​​</t>
  </si>
  <si>
    <t>寓言故事</t>
  </si>
  <si>
    <t>掌控力</t>
  </si>
  <si>
    <t>醉生梦死</t>
  </si>
  <si>
    <t>传教士</t>
  </si>
  <si>
    <t>用生命传播主的福音。</t>
  </si>
  <si>
    <t>锻刀</t>
  </si>
  <si>
    <t>教化</t>
  </si>
  <si>
    <t>人格魅力</t>
  </si>
  <si>
    <t>渗透</t>
  </si>
  <si>
    <t>武德充沛</t>
  </si>
  <si>
    <t>信使</t>
  </si>
  <si>
    <t>原始信仰</t>
  </si>
  <si>
    <t>自律</t>
  </si>
  <si>
    <t>暴虐</t>
  </si>
  <si>
    <t>让战士堕落为疯魔、使大帝腐化为暴君</t>
  </si>
  <si>
    <t>残暴</t>
  </si>
  <si>
    <t>共情</t>
  </si>
  <si>
    <t>门徒</t>
  </si>
  <si>
    <t>抢夺</t>
  </si>
  <si>
    <t>窃取</t>
  </si>
  <si>
    <t>衰老而死</t>
  </si>
  <si>
    <t>一朵不会枯萎的花</t>
  </si>
  <si>
    <t>因病而死</t>
  </si>
  <si>
    <t>尊名</t>
  </si>
  <si>
    <t>病变</t>
  </si>
  <si>
    <t>偷袭</t>
  </si>
  <si>
    <t>编纂记录的习性</t>
  </si>
  <si>
    <t>布道</t>
  </si>
  <si>
    <t>传颂</t>
  </si>
  <si>
    <t>敌意</t>
  </si>
  <si>
    <t>分析事物的习性</t>
  </si>
  <si>
    <t>观察世界的习性</t>
  </si>
  <si>
    <t>激流勇进</t>
  </si>
  <si>
    <t>检视自我的习性</t>
  </si>
  <si>
    <t>居所</t>
  </si>
  <si>
    <t>马</t>
  </si>
  <si>
    <t>石雕</t>
  </si>
  <si>
    <t>探求规律的习性</t>
  </si>
  <si>
    <t>威严</t>
  </si>
  <si>
    <t>诱惑</t>
  </si>
  <si>
    <t>不念</t>
  </si>
  <si>
    <t>放下屠刀</t>
  </si>
  <si>
    <t>进取心</t>
  </si>
  <si>
    <t>求知欲</t>
  </si>
  <si>
    <t>说客</t>
  </si>
  <si>
    <t>严肃</t>
  </si>
  <si>
    <t>恻隐之心</t>
  </si>
  <si>
    <t>宠爱</t>
  </si>
  <si>
    <t>慈悲心</t>
  </si>
  <si>
    <t>断章取义</t>
  </si>
  <si>
    <t>愤怒的情感</t>
  </si>
  <si>
    <t>弄假成真</t>
  </si>
  <si>
    <t>偷懒</t>
  </si>
  <si>
    <t>尊重</t>
  </si>
  <si>
    <t>沉浸</t>
  </si>
  <si>
    <t>崇拜</t>
  </si>
  <si>
    <t>定居</t>
  </si>
  <si>
    <t>对死亡的恐惧</t>
  </si>
  <si>
    <t>对未知的恐惧</t>
  </si>
  <si>
    <t>对制度的恐惧</t>
  </si>
  <si>
    <t>回音</t>
  </si>
  <si>
    <t>教导</t>
  </si>
  <si>
    <t>恐惧</t>
  </si>
  <si>
    <t>溶解</t>
  </si>
  <si>
    <t>析出</t>
  </si>
  <si>
    <t>欲壑难平</t>
  </si>
  <si>
    <t>傲慢</t>
  </si>
  <si>
    <t>谅解</t>
  </si>
  <si>
    <t>体谅</t>
  </si>
  <si>
    <t>勇气</t>
  </si>
  <si>
    <t>友爱</t>
  </si>
  <si>
    <t>被杀</t>
  </si>
  <si>
    <t>差异</t>
  </si>
  <si>
    <t>错误</t>
  </si>
  <si>
    <t>死亡</t>
  </si>
  <si>
    <t>心不由主</t>
  </si>
  <si>
    <t>友谊</t>
  </si>
  <si>
    <t>罪恶</t>
  </si>
  <si>
    <t>猝死</t>
  </si>
  <si>
    <t>打断</t>
  </si>
  <si>
    <t>饿死</t>
  </si>
  <si>
    <t>砍死</t>
  </si>
  <si>
    <t>勒死</t>
  </si>
  <si>
    <t>溺死</t>
  </si>
  <si>
    <t>痛苦</t>
  </si>
  <si>
    <t>吓死</t>
  </si>
  <si>
    <t>行动力</t>
  </si>
  <si>
    <t>遮掩真相的迷雾</t>
  </si>
  <si>
    <t>刀</t>
  </si>
  <si>
    <t>教师</t>
  </si>
  <si>
    <t>迷雾</t>
  </si>
  <si>
    <t>诗歌</t>
  </si>
  <si>
    <t>戏剧</t>
  </si>
  <si>
    <t>观察</t>
  </si>
  <si>
    <t>受伤</t>
  </si>
  <si>
    <t>玩具</t>
  </si>
  <si>
    <t>无法发现</t>
  </si>
  <si>
    <t>小麦</t>
  </si>
  <si>
    <t>环流季风</t>
  </si>
  <si>
    <t>季风</t>
  </si>
  <si>
    <t>飓风</t>
  </si>
  <si>
    <t>云彩</t>
  </si>
  <si>
    <t>风</t>
  </si>
  <si>
    <t>空气</t>
  </si>
  <si>
    <t>雪</t>
  </si>
  <si>
    <t>游泳</t>
  </si>
  <si>
    <t>激烈的情感</t>
  </si>
  <si>
    <t>悲伤的感觉</t>
  </si>
  <si>
    <t>快乐的感觉</t>
  </si>
  <si>
    <t>抬头</t>
  </si>
  <si>
    <t>道德</t>
  </si>
  <si>
    <t>堕落</t>
  </si>
  <si>
    <t>细菌</t>
  </si>
  <si>
    <t>从水下第一个生命诞生之初开始......</t>
  </si>
  <si>
    <t>史莱姆</t>
  </si>
  <si>
    <t>会动的果冻？似乎有一定的腐蚀性。</t>
  </si>
  <si>
    <t>芦苇</t>
  </si>
  <si>
    <t>人是会思考的芦苇。</t>
  </si>
  <si>
    <t>燃烧</t>
  </si>
  <si>
    <t>把他们烧成灰。</t>
  </si>
  <si>
    <t>春花</t>
  </si>
  <si>
    <t>春去春会来，花谢花还开。</t>
  </si>
  <si>
    <t>哥布林</t>
  </si>
  <si>
    <t>矮小，丑陋，低智，肉质不咋地。</t>
  </si>
  <si>
    <t>狼人</t>
  </si>
  <si>
    <t>《福瑞控：从入门到精通》</t>
  </si>
  <si>
    <t>狸猫</t>
  </si>
  <si>
    <t>狸猫会变成少女吗？</t>
  </si>
  <si>
    <t>麻雀</t>
  </si>
  <si>
    <t>小鸟超骚。</t>
  </si>
  <si>
    <t>村民</t>
  </si>
  <si>
    <t>该种田了。</t>
  </si>
  <si>
    <t>鮟鱇鱼</t>
  </si>
  <si>
    <t>死寂中的一束光......</t>
  </si>
  <si>
    <t>蚂蚁</t>
  </si>
  <si>
    <t>千里之堤......</t>
  </si>
  <si>
    <t>肥料</t>
  </si>
  <si>
    <t>“你的手指一定是绿色的吧！”“实际上，是褐色的。”</t>
  </si>
  <si>
    <t>红灯区</t>
  </si>
  <si>
    <t>来啊~快活啊~</t>
  </si>
  <si>
    <t>情侣酒店</t>
  </si>
  <si>
    <t>肥肥我也不到啊！</t>
  </si>
  <si>
    <t>教室</t>
  </si>
  <si>
    <t>读书吧......</t>
  </si>
  <si>
    <t>茶餐厅</t>
  </si>
  <si>
    <t>想要吃点什么吗？</t>
  </si>
  <si>
    <t>杂货店</t>
  </si>
  <si>
    <t>说不定有宝藏呢！</t>
  </si>
  <si>
    <t>季节变换</t>
  </si>
  <si>
    <t>春捂秋冻。</t>
  </si>
  <si>
    <t>酒馆</t>
  </si>
  <si>
    <t>快进来找个位置坐坐！</t>
  </si>
  <si>
    <t>地道</t>
  </si>
  <si>
    <t>蛰伏于地表之下......</t>
  </si>
  <si>
    <t>挖掘</t>
  </si>
  <si>
    <t>可能挖到宝藏，当然也可能挖到沼气池。</t>
  </si>
  <si>
    <t>海盗船</t>
  </si>
  <si>
    <t>他们可不是啥善茬。</t>
  </si>
  <si>
    <t>城墙</t>
  </si>
  <si>
    <t>你看上面挂着不少人。</t>
  </si>
  <si>
    <t>可食用蘑菇</t>
  </si>
  <si>
    <t>最高级的食材，往往会选用最原始的制作技艺。</t>
  </si>
  <si>
    <t>砖窑</t>
  </si>
  <si>
    <t>好砖出好窑。</t>
  </si>
  <si>
    <t>档案室</t>
  </si>
  <si>
    <t>尘封的往事。</t>
  </si>
  <si>
    <t>澡堂</t>
  </si>
  <si>
    <t>小心地滑，以及肥皂。</t>
  </si>
  <si>
    <t>安全屋</t>
  </si>
  <si>
    <t>我们安全了……暂时的。</t>
  </si>
  <si>
    <t>法庭</t>
  </si>
  <si>
    <t>劝人学法，千刀万剐！</t>
  </si>
  <si>
    <t>华莱士</t>
  </si>
  <si>
    <t>没有厕所。</t>
  </si>
  <si>
    <t>破庙</t>
  </si>
  <si>
    <t>宁住新坟。</t>
  </si>
  <si>
    <t>蜜蜂</t>
  </si>
  <si>
    <t>为了女王大人！</t>
  </si>
  <si>
    <t>狗头人</t>
  </si>
  <si>
    <t>摸到就是爽到！</t>
  </si>
  <si>
    <t>末日铁拳</t>
  </si>
  <si>
    <t>吃个娜娜~</t>
  </si>
  <si>
    <t>新手法杖</t>
  </si>
  <si>
    <t>不会爆炸吧这玩意儿……</t>
  </si>
  <si>
    <t>掉链子</t>
  </si>
  <si>
    <t>啊哦，好像失去链接了。</t>
  </si>
  <si>
    <t>愚笨</t>
  </si>
  <si>
    <t>阿巴阿巴——</t>
  </si>
  <si>
    <t>怀表</t>
  </si>
  <si>
    <t>滴答滴答……</t>
  </si>
  <si>
    <t>良田</t>
  </si>
  <si>
    <t>稻下乘凉梦。</t>
  </si>
  <si>
    <t>幽灵</t>
  </si>
  <si>
    <t>飘~</t>
  </si>
  <si>
    <t>猴子</t>
  </si>
  <si>
    <t>爱一直在。</t>
  </si>
  <si>
    <t>青蛙</t>
  </si>
  <si>
    <t>苟——</t>
  </si>
  <si>
    <t>仓库</t>
  </si>
  <si>
    <t>仓检来咯ᕕ( ᐛ )ᕗ！</t>
  </si>
  <si>
    <t>次生灾害</t>
  </si>
  <si>
    <t>屋漏偏逢连夜雨……</t>
  </si>
  <si>
    <t>●巴克咖啡连锁</t>
  </si>
  <si>
    <t>小布尔乔亚的阴谋。</t>
  </si>
  <si>
    <t>风精灵</t>
  </si>
  <si>
    <t>千风的一缕。</t>
  </si>
  <si>
    <t>信息素</t>
  </si>
  <si>
    <t>身体好奇怪......</t>
  </si>
  <si>
    <t>办公室</t>
  </si>
  <si>
    <t>史丹利的寓言。</t>
  </si>
  <si>
    <t>土豆</t>
  </si>
  <si>
    <t>淀粉含量相当高的根茎植物，能做主粮。</t>
  </si>
  <si>
    <t>玉米</t>
  </si>
  <si>
    <t>不仅仅是主粮。</t>
  </si>
  <si>
    <t>厕所</t>
  </si>
  <si>
    <t>五谷轮回之所。</t>
  </si>
  <si>
    <t>咖啡馆</t>
  </si>
  <si>
    <t>安静，舒适，短暂的休憩。</t>
  </si>
  <si>
    <t>麻将茶馆</t>
  </si>
  <si>
    <t>据说这里的常客每天骑熊猫上下班？</t>
  </si>
  <si>
    <t>树屋</t>
  </si>
  <si>
    <t>护林员的歇脚处，孩子们童年的梦。</t>
  </si>
  <si>
    <t>蝴蝶</t>
  </si>
  <si>
    <t>一只发福叠~</t>
  </si>
  <si>
    <t>山洞</t>
  </si>
  <si>
    <t>山间避雨处，小心猛兽！</t>
  </si>
  <si>
    <t>死火山</t>
  </si>
  <si>
    <t>zzzzzz——</t>
  </si>
  <si>
    <t>π</t>
  </si>
  <si>
    <t>消费者权益保障</t>
  </si>
  <si>
    <t>你买到假的丹东草莓辣！</t>
  </si>
  <si>
    <t>仓鼠</t>
  </si>
  <si>
    <t>一种可爱的动物，或许可以用来作为宠物</t>
  </si>
  <si>
    <t>狗</t>
  </si>
  <si>
    <t>狗比酱是人类的好伙伴！</t>
  </si>
  <si>
    <t>姜</t>
  </si>
  <si>
    <t>伙计，你一定炒肉需要这东西</t>
  </si>
  <si>
    <t>家</t>
  </si>
  <si>
    <t>温暖的家，避风港</t>
  </si>
  <si>
    <t>兔子</t>
  </si>
  <si>
    <t>兔兔那么可爱！</t>
  </si>
  <si>
    <t>轻微危险</t>
  </si>
  <si>
    <t>哎呀，摔倒蹭破皮了！</t>
  </si>
  <si>
    <t>羊</t>
  </si>
  <si>
    <t>咩～</t>
  </si>
  <si>
    <t>珠颈斑鸠</t>
  </si>
  <si>
    <t>你这肥鸠！</t>
  </si>
  <si>
    <t>大鹅</t>
  </si>
  <si>
    <t>会追着人跑的危险存在</t>
  </si>
  <si>
    <t>蝙蝠</t>
  </si>
  <si>
    <t>老鼠会把它当成天使吗？</t>
  </si>
  <si>
    <t>白鸽</t>
  </si>
  <si>
    <t>痛</t>
  </si>
  <si>
    <t>鱼</t>
  </si>
  <si>
    <t>正宗海鲜</t>
  </si>
  <si>
    <t>鸡</t>
  </si>
  <si>
    <t>只因——鸡</t>
  </si>
  <si>
    <t>莲</t>
  </si>
  <si>
    <t>出淤泥而不染，濯清莲而不妖</t>
  </si>
  <si>
    <t>鸭</t>
  </si>
  <si>
    <t>嘎嘎嘎</t>
  </si>
  <si>
    <t>鸡盒</t>
  </si>
  <si>
    <t>肥力小测</t>
  </si>
  <si>
    <t>病毒</t>
  </si>
  <si>
    <t>我，无处不在</t>
  </si>
  <si>
    <t>白大褂</t>
  </si>
  <si>
    <t>医生和科学家常穿的衣服</t>
  </si>
  <si>
    <t>环卫工</t>
  </si>
  <si>
    <t>你工人叔叔</t>
  </si>
  <si>
    <t>蚊子</t>
  </si>
  <si>
    <t>和下面的一样坏</t>
  </si>
  <si>
    <t>资本家</t>
  </si>
  <si>
    <t>和上面的一样坏</t>
  </si>
  <si>
    <t>渡渡鸟</t>
  </si>
  <si>
    <t>在打复活赛</t>
  </si>
  <si>
    <t>螨虫</t>
  </si>
  <si>
    <t>我对这玩意过敏</t>
  </si>
  <si>
    <t>洋葱</t>
  </si>
  <si>
    <t>紫色圆球，催人泪下</t>
  </si>
  <si>
    <t>无翼鸟</t>
  </si>
  <si>
    <t>因为飞不起来惨遭淘汰的傻鸟</t>
  </si>
  <si>
    <t>作物</t>
  </si>
  <si>
    <t>没有他们，没有食物</t>
  </si>
  <si>
    <t>草</t>
  </si>
  <si>
    <t>艹</t>
  </si>
  <si>
    <t>草泥马</t>
  </si>
  <si>
    <t>我没有骂人</t>
  </si>
  <si>
    <t>燕子</t>
  </si>
  <si>
    <t>燕子！没有你我怎么活！</t>
  </si>
  <si>
    <t>麦当当</t>
  </si>
  <si>
    <t>M</t>
  </si>
  <si>
    <t>肯基基</t>
  </si>
  <si>
    <t>肯德基疯狂星期四，v我50，把我肚子搞大</t>
  </si>
  <si>
    <t>下水道</t>
  </si>
  <si>
    <t>UK酱探头.jpg</t>
  </si>
  <si>
    <t>地下室</t>
  </si>
  <si>
    <t>分尸杀人的好地方～</t>
  </si>
  <si>
    <t>酒吧</t>
  </si>
  <si>
    <t>未成年禁止入内</t>
  </si>
  <si>
    <t>网吧</t>
  </si>
  <si>
    <t>是指通过计算机等装置向公众提供互联网上网服务的网吧、电脑休闲室等营业性场所。</t>
  </si>
  <si>
    <t>烂尾楼</t>
  </si>
  <si>
    <t>承包商跑路了，该死！</t>
  </si>
  <si>
    <t>小区</t>
  </si>
  <si>
    <t>最普通的那种</t>
  </si>
  <si>
    <t>电话亭</t>
  </si>
  <si>
    <t>投币使用</t>
  </si>
  <si>
    <t>学校</t>
  </si>
  <si>
    <t>我爱学习！</t>
  </si>
  <si>
    <t>画室</t>
  </si>
  <si>
    <t>淡白用光了</t>
  </si>
  <si>
    <t>传媒大楼</t>
  </si>
  <si>
    <t>新闻学魅力时刻</t>
  </si>
  <si>
    <t>停车场</t>
  </si>
  <si>
    <t>偶尔会有流浪汉入内</t>
  </si>
  <si>
    <t>火车站</t>
  </si>
  <si>
    <t>春运时间！</t>
  </si>
  <si>
    <t>实验室</t>
  </si>
  <si>
    <t>洗试管.jpg</t>
  </si>
  <si>
    <t>港口</t>
  </si>
  <si>
    <t>呜呜～（汽笛声）</t>
  </si>
  <si>
    <t>机场</t>
  </si>
  <si>
    <t>街道</t>
  </si>
  <si>
    <t>撞大运（一种汽车）咯</t>
  </si>
  <si>
    <t>姬骑士</t>
  </si>
  <si>
    <t>咕，杀了我</t>
  </si>
  <si>
    <t>煤矿</t>
  </si>
  <si>
    <t>黑色黄金</t>
  </si>
  <si>
    <t>年</t>
  </si>
  <si>
    <t>祝大家年年有余！</t>
  </si>
  <si>
    <t>湖心岛</t>
  </si>
  <si>
    <t>崇祯五年十二月，余在西湖。大雪三日，湖中人鸟声俱绝。</t>
  </si>
  <si>
    <t>花园</t>
  </si>
  <si>
    <t>花，草，树，人</t>
  </si>
  <si>
    <t>画</t>
  </si>
  <si>
    <t>远看山有色，近听水无声。春去花还在，人来鸟不惊</t>
  </si>
  <si>
    <t>列宁</t>
  </si>
  <si>
    <t>“同志，你见过列宁吗？”“见过。”“他是什么样子？”“列宁？哦，一个普通人，和我们一样的人”</t>
  </si>
  <si>
    <t>同学们，这里是重点，圈画一下</t>
  </si>
  <si>
    <t>宿舍</t>
  </si>
  <si>
    <t>“哇，我的牛子可以旋转！”</t>
  </si>
  <si>
    <t>沙漠</t>
  </si>
  <si>
    <t>“水…给我水。”</t>
  </si>
  <si>
    <t>养殖场</t>
  </si>
  <si>
    <t>养殖场是将一定数量的畜禽等驯化动物或者鹿、麝、狐、貂、水獭、鹌鹑等野生动物集中到特定区域内统一饲养、繁殖的场所。</t>
  </si>
  <si>
    <t>高原</t>
  </si>
  <si>
    <t>“我…喘不上气…”</t>
  </si>
  <si>
    <t>身后</t>
  </si>
  <si>
    <t>回头！</t>
  </si>
  <si>
    <t>天台</t>
  </si>
  <si>
    <t>所以你们为啥要上天台啊？</t>
  </si>
  <si>
    <t xml:space="preserve">繁殖力极强，个体极弱。 </t>
  </si>
  <si>
    <t xml:space="preserve">蜥蜴人 </t>
  </si>
  <si>
    <t>大尾巴！</t>
  </si>
  <si>
    <t>骷髅</t>
  </si>
  <si>
    <t xml:space="preserve">知道一个骷髅为什么要交朋友吗？因为它需要“骨”励。 </t>
  </si>
  <si>
    <t>酒店</t>
  </si>
  <si>
    <t>300一晚？你抢钱呢？</t>
  </si>
  <si>
    <t>菜市场</t>
  </si>
  <si>
    <t>为了便宜一块钱，大家愿意多走点路</t>
  </si>
  <si>
    <t>饭馆</t>
  </si>
  <si>
    <t>走，咱们下馆子去</t>
  </si>
  <si>
    <t>体育馆</t>
  </si>
  <si>
    <t>生命不息，运动不止！</t>
  </si>
  <si>
    <t>理发店</t>
  </si>
  <si>
    <t>鳖载着理发店</t>
  </si>
  <si>
    <t>超市</t>
  </si>
  <si>
    <t>先去超商买点吃的</t>
  </si>
  <si>
    <t>奥特曼</t>
  </si>
  <si>
    <t>超人力霸王</t>
  </si>
  <si>
    <t>美容院</t>
  </si>
  <si>
    <t>美容院是为人们提供美容护理、皮肤保健、水疗等内容的美容服务场所。</t>
  </si>
  <si>
    <t>桥洞</t>
  </si>
  <si>
    <t>流浪汉的居所</t>
  </si>
  <si>
    <t>垃圾桶</t>
  </si>
  <si>
    <t>百宝箱！</t>
  </si>
  <si>
    <t>博物馆</t>
  </si>
  <si>
    <t>荒村</t>
  </si>
  <si>
    <t>为什么会荒芜呢？</t>
  </si>
  <si>
    <t>井</t>
  </si>
  <si>
    <t>我是静默。几片草叶，小小的天空飘几朵浮云，便是我完整和谐的世界。</t>
  </si>
  <si>
    <t>沙滩</t>
  </si>
  <si>
    <t>阳光，沙滩，仙人掌，还有一位老船长～</t>
  </si>
  <si>
    <t>电影院</t>
  </si>
  <si>
    <t>是否还记得，故乡那个老电影院，它静静的矗立在，马路的一边。</t>
  </si>
  <si>
    <t>野猪</t>
  </si>
  <si>
    <t>猪突猛进！</t>
  </si>
  <si>
    <t>牛头人</t>
  </si>
  <si>
    <t>纯爱战神，杀牛霸拳，一百万匹力量，给我破啊啊啊啊啊啊———</t>
  </si>
  <si>
    <t>地精</t>
  </si>
  <si>
    <t>在蓄力啦！</t>
  </si>
  <si>
    <t>孟德尔</t>
  </si>
  <si>
    <t>豌豆射手之父</t>
  </si>
  <si>
    <t>蛀虫</t>
  </si>
  <si>
    <t>你是社会的蛀虫吗？</t>
  </si>
  <si>
    <t>踩狗屎</t>
  </si>
  <si>
    <t>走狗屎运喽</t>
  </si>
  <si>
    <t>校园欺凌</t>
  </si>
  <si>
    <t>呔，欺凌者，杀！</t>
  </si>
  <si>
    <t>捡钱</t>
  </si>
  <si>
    <t>我在马路边，捡到一分钱～</t>
  </si>
  <si>
    <t>偶遇小偷</t>
  </si>
  <si>
    <t>哦淦，我钱包呢？</t>
  </si>
  <si>
    <t>页面不存在</t>
  </si>
  <si>
    <t>404 bad found</t>
  </si>
  <si>
    <t>高空抛物</t>
  </si>
  <si>
    <t>不好的行为</t>
  </si>
  <si>
    <t>滑倒</t>
  </si>
  <si>
    <t>小心地 滑</t>
  </si>
  <si>
    <t>延毕</t>
  </si>
  <si>
    <t>哈哈哈</t>
  </si>
  <si>
    <t>习题我可</t>
  </si>
  <si>
    <t>City  walk 🚶</t>
  </si>
  <si>
    <t>无事发生</t>
  </si>
  <si>
    <t>对了！</t>
  </si>
  <si>
    <t>逆转</t>
  </si>
  <si>
    <t>现在，攻守易位！</t>
  </si>
  <si>
    <t>坠机</t>
  </si>
  <si>
    <t>孩子们</t>
  </si>
  <si>
    <t>晕倒</t>
  </si>
  <si>
    <t>我倒</t>
  </si>
  <si>
    <t>跳闸</t>
  </si>
  <si>
    <t>灯黑了</t>
  </si>
  <si>
    <t>熬夜</t>
  </si>
  <si>
    <t>大家早点睡</t>
  </si>
  <si>
    <t>打雷</t>
  </si>
  <si>
    <t>吓我一跳</t>
  </si>
  <si>
    <t>放鸽子</t>
  </si>
  <si>
    <t>杀鸽霸拳～99万匹力量转动</t>
  </si>
  <si>
    <t>失恋</t>
  </si>
  <si>
    <t>我连失恋的资格都没有</t>
  </si>
  <si>
    <t>车祸</t>
  </si>
  <si>
    <t>尿意来袭</t>
  </si>
  <si>
    <t>憋尿能行千里，串稀寸步难行</t>
  </si>
  <si>
    <t>灌木</t>
  </si>
  <si>
    <t>产出浆果</t>
  </si>
  <si>
    <t>三叶草</t>
  </si>
  <si>
    <t>小概率变成四叶草</t>
  </si>
  <si>
    <t>常春藤</t>
  </si>
  <si>
    <t>最后一片叶子</t>
  </si>
  <si>
    <t>香蕉</t>
  </si>
  <si>
    <t>水果</t>
  </si>
  <si>
    <t>执着</t>
  </si>
  <si>
    <t>字面意思，不达目的不放弃，说实话……有点可怕呢。</t>
  </si>
  <si>
    <t>幸运</t>
  </si>
  <si>
    <t>仿佛被上天眷顾。</t>
  </si>
  <si>
    <t>温暖</t>
  </si>
  <si>
    <t>每个被需要、被认同的瞬间。</t>
  </si>
  <si>
    <t>天圆地方</t>
  </si>
  <si>
    <t>朴素的世界观，但对他们而言是整个世界。</t>
  </si>
  <si>
    <t>梦</t>
  </si>
  <si>
    <t>嗯……你醒过来了吗？</t>
  </si>
  <si>
    <t>沉默</t>
  </si>
  <si>
    <t>蔓延的不语。</t>
  </si>
  <si>
    <t>第一学院</t>
  </si>
  <si>
    <t>朝闻道，夕可死。</t>
  </si>
  <si>
    <t>流浪厕所</t>
  </si>
  <si>
    <t>当地球危在旦夕之际，我们选择了用高能粪便世代飞船来逃离。</t>
  </si>
  <si>
    <t>不稳定的空间断层</t>
  </si>
  <si>
    <t>空间的另一面是什么？想去看看吗？</t>
  </si>
  <si>
    <t>龙和虫子的战场</t>
  </si>
  <si>
    <t>新的时代，霸主该更替了</t>
  </si>
  <si>
    <t>万门之地</t>
  </si>
  <si>
    <t>买两扇门打八折，买四扇送上门安装。</t>
  </si>
  <si>
    <t>碳酸制造厂</t>
  </si>
  <si>
    <t>生产汽水原料的大厂，所有机械全部是自动化！当然，动力是碳酸。</t>
  </si>
  <si>
    <t>简易废土避难所</t>
  </si>
  <si>
    <t>核战之前，无力承担避难所门票的父亲亲手为女儿打造了这座狭小的地下避难所——而排气系统的先天故障注定了她再也无法出去。</t>
  </si>
  <si>
    <t>仙缘村</t>
  </si>
  <si>
    <t>这里曾经诞生过仙人，除此之外不过是一个平平无奇的村子而已。</t>
  </si>
  <si>
    <t>肥肥的应许之地</t>
  </si>
  <si>
    <t>每个肥肥想吃炸鸡/喝快乐水/手冲时都会突然出现的异次元厕所，每次只能进一个人，可能同时在不同时空出现。“警告！jk和线虫可能被关在里面”</t>
  </si>
  <si>
    <t>流浪者号</t>
  </si>
  <si>
    <t>流浪者的母舰和旗舰，相传舰上的雷达永远朝着母星的方向——他们希望有一天能再次接收到家乡发来的信号。</t>
  </si>
  <si>
    <t>岁月书库</t>
  </si>
  <si>
    <t>记录者记录宇宙中所有事物的地方，由记录者大长老亲自守护的圣地。</t>
  </si>
  <si>
    <t>沙迪的小餐馆</t>
  </si>
  <si>
    <t>“兄弟我跟你说，不是我吹牛，虽然看上去脏了吧唧，这里的盐汽水和牛油果沙拉可是一绝！”</t>
  </si>
  <si>
    <t>墓地</t>
  </si>
  <si>
    <t>一小块由几个只有红星的墓碑构成的小墓地。</t>
  </si>
  <si>
    <t>潘格斯的法师塔</t>
  </si>
  <si>
    <t>你难道觉得穷鬼潘格斯会往里面放什么有价值的东西吗？</t>
  </si>
  <si>
    <t>血肉研究所</t>
  </si>
  <si>
    <t>机械真的是唯一的道路吗？</t>
  </si>
  <si>
    <t>地基</t>
  </si>
  <si>
    <t>发挥你的想象力。</t>
  </si>
  <si>
    <t>基地</t>
  </si>
  <si>
    <t>在西伯利亚荒原上只露出一扇门的废弃基地，没有人知道它的用途。</t>
  </si>
  <si>
    <t>德库树下的祭坛</t>
  </si>
  <si>
    <t>传说，在迷失森林之中，三角祭坛之上，存在一把传说中的宝剑……“为什么祭坛是空的啊！？我千辛万苦到这来是为啥啊！？”</t>
  </si>
  <si>
    <t>广场</t>
  </si>
  <si>
    <t>一片广场，适合开会，做操，举行活动……和罚站。</t>
  </si>
  <si>
    <t>小时候最想逃离的地方，和长大后最想回到的地方。好吧，并不是每个人都这么想。</t>
  </si>
  <si>
    <t>发现了吗，它现在一天比一天更难闻。</t>
  </si>
  <si>
    <t>出租房</t>
  </si>
  <si>
    <t>一猫，二人，三餐，四季。</t>
  </si>
  <si>
    <t>故乡</t>
  </si>
  <si>
    <t>有些人倾其一生离去，有些人倾其一生回归。</t>
  </si>
  <si>
    <t>花海</t>
  </si>
  <si>
    <t>春观夜樱，夏望繁星，秋赏满月，冬会初雪。</t>
  </si>
  <si>
    <t>小树林</t>
  </si>
  <si>
    <t>随你怎么想象。</t>
  </si>
  <si>
    <t>流放地</t>
  </si>
  <si>
    <t>罪犯和反对派的归宿。</t>
  </si>
  <si>
    <t>油库里普雷斯</t>
  </si>
  <si>
    <t>这是命运。</t>
  </si>
  <si>
    <t>时间与精神的修炼屋</t>
  </si>
  <si>
    <t>此处与外界的时间流速比为1.01:1。</t>
  </si>
  <si>
    <t>圣所</t>
  </si>
  <si>
    <t>圣人所居之地，但早已门庭冷落。</t>
  </si>
  <si>
    <t>坍塌的教堂</t>
  </si>
  <si>
    <t>位于某座城市的郊区，看起来破旧不堪。“我们的主在里面长眠。”</t>
  </si>
  <si>
    <t>深埋地下，链接住宅，有很多可以掩盖……</t>
  </si>
  <si>
    <t>阿莱桑公寓</t>
  </si>
  <si>
    <t>存在于这里的只是某一个房间。或许有日历？</t>
  </si>
  <si>
    <t>魔法木炭</t>
  </si>
  <si>
    <t>滚烫的石头</t>
  </si>
  <si>
    <t>蒸汽机器人</t>
  </si>
  <si>
    <t>大洪水</t>
  </si>
  <si>
    <t>自律人偶</t>
  </si>
  <si>
    <t>核战争</t>
  </si>
  <si>
    <t>末日钟</t>
  </si>
  <si>
    <t>核裁军</t>
  </si>
  <si>
    <t>宇宙废墟</t>
  </si>
  <si>
    <t>变异人</t>
  </si>
  <si>
    <t>长城</t>
  </si>
  <si>
    <t>乔治奥威尔</t>
  </si>
  <si>
    <t>机械化农业</t>
  </si>
  <si>
    <t>东方project</t>
  </si>
  <si>
    <t>食人海带</t>
  </si>
  <si>
    <t>手工达人</t>
  </si>
  <si>
    <t>刑部尚书耿</t>
  </si>
  <si>
    <t>蒸汽船</t>
  </si>
  <si>
    <t>网络偶像</t>
  </si>
  <si>
    <t>铁甲舰</t>
  </si>
  <si>
    <t>初音未来</t>
  </si>
  <si>
    <t>大炮巨舰</t>
  </si>
  <si>
    <t>niconico</t>
  </si>
  <si>
    <t>野兽先辈</t>
  </si>
  <si>
    <t>东风谷早苗</t>
  </si>
  <si>
    <t>xilixili</t>
  </si>
  <si>
    <t>ACFUN</t>
  </si>
  <si>
    <t>bog匿名版</t>
  </si>
  <si>
    <t>王刚</t>
  </si>
  <si>
    <t>宽油</t>
  </si>
  <si>
    <t>希望之花</t>
  </si>
  <si>
    <t>八坂神奈子</t>
  </si>
  <si>
    <t>泄矢诹访子</t>
  </si>
  <si>
    <t>米其林大厨</t>
  </si>
  <si>
    <t>小当家</t>
  </si>
  <si>
    <t>马克思主义者</t>
  </si>
  <si>
    <t>本 社 爆 破</t>
  </si>
  <si>
    <t>mikufans</t>
  </si>
  <si>
    <t>2ch</t>
  </si>
  <si>
    <t>4chan</t>
  </si>
  <si>
    <t>a岛</t>
  </si>
  <si>
    <t>阿克夏法师</t>
  </si>
  <si>
    <t>赤风阿克夏的强大巫师们，火焰从他们的法杖和身体迸发而出，带给一切污秽仇敌以炽热的净化。</t>
  </si>
  <si>
    <t>夫子</t>
  </si>
  <si>
    <t>传道授业解惑。</t>
  </si>
  <si>
    <t>百夫长</t>
  </si>
  <si>
    <t>不可或缺的中坚力量。</t>
  </si>
  <si>
    <t>小丑</t>
  </si>
  <si>
    <t>带来欢笑？嘻嘻嘻嘻……</t>
  </si>
  <si>
    <t>采药人</t>
  </si>
  <si>
    <t>熟练的一把好手，能从最险峻的悬崖边摘取草药。</t>
  </si>
  <si>
    <t>赤脚医生</t>
  </si>
  <si>
    <t>有总比没有好。</t>
  </si>
  <si>
    <t>琴师</t>
  </si>
  <si>
    <t>抚琴一曲，心静神凝。</t>
  </si>
  <si>
    <t>治安官</t>
  </si>
  <si>
    <t>西部小镇可不能没有他。</t>
  </si>
  <si>
    <t>庸人</t>
  </si>
  <si>
    <t>没错！就是那些负责拖后腿的人！</t>
  </si>
  <si>
    <t>法官</t>
  </si>
  <si>
    <t>法无禁止即可为？</t>
  </si>
  <si>
    <t>冒险者的第一个讨伐对象，但是你可不一定能赢。</t>
  </si>
  <si>
    <t>猎犬</t>
  </si>
  <si>
    <t>神秘的调查员，他们愿意为未知的秘密付出一切。</t>
  </si>
  <si>
    <t>聪明人</t>
  </si>
  <si>
    <t>有点小聪明。</t>
  </si>
  <si>
    <t>神棍</t>
  </si>
  <si>
    <t>信则有，不信则无。</t>
  </si>
  <si>
    <t>下九流</t>
  </si>
  <si>
    <t>这可包括很多职业。</t>
  </si>
  <si>
    <t>豌豆公主</t>
  </si>
  <si>
    <t>娇弱而美丽，她可是真正的公主。</t>
  </si>
  <si>
    <t>敬业清道夫</t>
  </si>
  <si>
    <t>与老鼠、蟑螂、下水道终生对抗。</t>
  </si>
  <si>
    <t>妄想者</t>
  </si>
  <si>
    <t>没有能力的野心家。</t>
  </si>
  <si>
    <t>努力学家</t>
  </si>
  <si>
    <t>出生时点满了毅力，他很努力，除此之外没什么特别的。</t>
  </si>
  <si>
    <t>史官</t>
  </si>
  <si>
    <t>总要有人记录下来。</t>
  </si>
  <si>
    <t>盾之勇者</t>
  </si>
  <si>
    <t>没有特殊能力，没有特殊身份，只不过是个使盾技巧出神入化的大师。</t>
  </si>
  <si>
    <t>门卫</t>
  </si>
  <si>
    <t>别以为我会很嚣张的拦住你们。</t>
  </si>
  <si>
    <t>药剂师大姐姐</t>
  </si>
  <si>
    <t>穿着洁白的工作服……还很大。</t>
  </si>
  <si>
    <t>拾荒者</t>
  </si>
  <si>
    <t>生活艰难，但总要过下去。</t>
  </si>
  <si>
    <t>纨绔</t>
  </si>
  <si>
    <t>主角上街的时候不能少了他的衬托。</t>
  </si>
  <si>
    <t>占卜师</t>
  </si>
  <si>
    <t>用塔罗牌占卜……与其说是在占卜，还不如说是在掷骰子。</t>
  </si>
  <si>
    <t>客栈的老板娘</t>
  </si>
  <si>
    <t>乱糟糟的枯黄头发，斜插着的木簪子，以及细长的铜质烟斗。这就是她。</t>
  </si>
  <si>
    <t>纸匠</t>
  </si>
  <si>
    <t>他为每一个夭折之人送行。</t>
  </si>
  <si>
    <t>老兵</t>
  </si>
  <si>
    <t>唯一擅长的是从战场之上活下来的方法。</t>
  </si>
  <si>
    <t>哑仆</t>
  </si>
  <si>
    <t>他永远不会泄露主家的秘密。</t>
  </si>
  <si>
    <t>修仙练习生</t>
  </si>
  <si>
    <t>斩断尘缘，清心寡欲，做不到的话就只是半吊子而已。</t>
  </si>
  <si>
    <t>变色龙</t>
  </si>
  <si>
    <t>为了活下去，为了更好地活下去。</t>
  </si>
  <si>
    <t>官僚</t>
  </si>
  <si>
    <t>他最懂得按照规矩办事，他最不懂打破规矩办事。</t>
  </si>
  <si>
    <t>饕餮天空树</t>
  </si>
  <si>
    <t>给啥吃啥，越长越大。</t>
  </si>
  <si>
    <t>作家</t>
  </si>
  <si>
    <t>下笔如有神。</t>
  </si>
  <si>
    <t>炸鸡店店长</t>
  </si>
  <si>
    <t>这个月薯条亏损26箱，你有什么头猪吗？</t>
  </si>
  <si>
    <t>特权阶级</t>
  </si>
  <si>
    <t>在去火葬场的方面也享有特权。</t>
  </si>
  <si>
    <t>锁匠</t>
  </si>
  <si>
    <t>他制造一些锁，然后打开另外一些。</t>
  </si>
  <si>
    <t>邪教徒</t>
  </si>
  <si>
    <t>当勇敢来自愚蠢，当执着来自疯狂，当忠诚来自狂热。</t>
  </si>
  <si>
    <t>饮料品鉴达人</t>
  </si>
  <si>
    <t>能够蒙着眼睛尝出可乐的生产日期。</t>
  </si>
  <si>
    <t>巨魔</t>
  </si>
  <si>
    <t>我钓上你了，而我没有马。</t>
  </si>
  <si>
    <t>盲人</t>
  </si>
  <si>
    <t>眼盲心不盲。</t>
  </si>
  <si>
    <t>好人</t>
  </si>
  <si>
    <t>在很多人眼里，善良是一种懦弱。</t>
  </si>
  <si>
    <t>恋人</t>
  </si>
  <si>
    <t>ta普通地爱着你，你也普通地爱着ta。</t>
  </si>
  <si>
    <t>道士</t>
  </si>
  <si>
    <t>交30块钱能帮你看看风水。</t>
  </si>
  <si>
    <t>蜥蜴</t>
  </si>
  <si>
    <t>她匍匐着，爬行着，像一只真正的蜥蜴。</t>
  </si>
  <si>
    <t>马戏团的法师</t>
  </si>
  <si>
    <t>他能召唤一杯水，但他也只能做到这个了，一天一次。</t>
  </si>
  <si>
    <t>校花</t>
  </si>
  <si>
    <t>我缠着校花玩耍，你为校花每天拍照，他送校花回到家，人人都爱校花。</t>
  </si>
  <si>
    <t>水手</t>
  </si>
  <si>
    <t>一艘船只有船长总是不可能运行起来的。</t>
  </si>
  <si>
    <t>勇者</t>
  </si>
  <si>
    <t>我们去拯救世界吧！</t>
  </si>
  <si>
    <t>魔王</t>
  </si>
  <si>
    <t>下一个来打牌的勇者什么时候到啊……好无聊啊……</t>
  </si>
  <si>
    <t>D级人员</t>
  </si>
  <si>
    <t>他们就是拿来用的。</t>
  </si>
  <si>
    <t>肥肥</t>
  </si>
  <si>
    <t>传说他们中一部分人有着创造世界的能力。</t>
  </si>
  <si>
    <t>绿皮</t>
  </si>
  <si>
    <t>JV8虾米今天我就要……等等，JV8是什么虾米？</t>
  </si>
  <si>
    <t>妄想症患者</t>
  </si>
  <si>
    <t>他总是在想些不存在的东西……吧？</t>
  </si>
  <si>
    <t>美国短毛猫</t>
  </si>
  <si>
    <t>俗话说:“猫是奸臣”，假如它伴随你来到世界末日，你会指望它用平常与你打闹的爪子，来保护你脆弱的身体以及精神吗？</t>
  </si>
  <si>
    <t>将军</t>
  </si>
  <si>
    <t>他是如此平庸，以致自己没有在历史上留下功名。他是如此平庸，因得没有在历史上留下骂名。</t>
  </si>
  <si>
    <t>有品位的酒杯</t>
  </si>
  <si>
    <t>酒倒进去似乎会变得好喝一些。</t>
  </si>
  <si>
    <t>比较钝的短剑</t>
  </si>
  <si>
    <t>有着一丝灵魂的存在，似乎有进化的可能？</t>
  </si>
  <si>
    <t>剑圣的兵刃（钝）</t>
  </si>
  <si>
    <t>你要知道，当你的实力进入到一个境界，你手上抓着的是什么，其实不是很重要。</t>
  </si>
  <si>
    <t>阿克琉斯之甲</t>
  </si>
  <si>
    <t>你和阿克琉斯的区别在于，你不知道你的弱点在哪。</t>
  </si>
  <si>
    <t>CQ-Ⅱ可乐燃料</t>
  </si>
  <si>
    <t>可以喝，但一瓶抵得上一吨原油。</t>
  </si>
  <si>
    <t>破旧的陶罐</t>
  </si>
  <si>
    <t>或许你可以尝试把头伸进去？</t>
  </si>
  <si>
    <t>法器</t>
  </si>
  <si>
    <t>把法杖*进去就能施法了。</t>
  </si>
  <si>
    <t>一颗无限宝石都没装的无限手套</t>
  </si>
  <si>
    <t>只是个超硬还可以打响指的铁手套。</t>
  </si>
  <si>
    <t>放逐的陶片</t>
  </si>
  <si>
    <t>凑齐300块或许会发生奇妙的事情？</t>
  </si>
  <si>
    <t>骰子</t>
  </si>
  <si>
    <t>不妨掷一下吧。</t>
  </si>
  <si>
    <t>女鬼的情书</t>
  </si>
  <si>
    <t>“今晚一起度过吧♡”</t>
  </si>
  <si>
    <t>绿皮的脑子</t>
  </si>
  <si>
    <t>实际上就是一片纯粹的虚无，也许该塞点……</t>
  </si>
  <si>
    <t>拧不下的螺丝</t>
  </si>
  <si>
    <t>该死，怎么拧不下来！</t>
  </si>
  <si>
    <t>肥肥快乐水</t>
  </si>
  <si>
    <t>红色还是蓝色?这不重要，重要的是快乐。</t>
  </si>
  <si>
    <t>带血的烟灰缸</t>
  </si>
  <si>
    <t>说真的，它可能见证了一场凶杀。</t>
  </si>
  <si>
    <t>坏掉的八音盒</t>
  </si>
  <si>
    <t>耳朵听不见的时候，试试用心去听。</t>
  </si>
  <si>
    <t>钻戒</t>
  </si>
  <si>
    <t>定情。</t>
  </si>
  <si>
    <t>一些沙子</t>
  </si>
  <si>
    <t>真的只是一些沙子。</t>
  </si>
  <si>
    <t>道林·格雷的画像</t>
  </si>
  <si>
    <t>青春永驻。</t>
  </si>
  <si>
    <t>一沓落满灰尘的手稿</t>
  </si>
  <si>
    <t>疯言疯语？还是大师遗作？</t>
  </si>
  <si>
    <t>透明鳞片</t>
  </si>
  <si>
    <t>……海里的腥味。</t>
  </si>
  <si>
    <t>柯尔特巨蟒</t>
  </si>
  <si>
    <t>大口径的左轮手枪，工厂制，放心用。</t>
  </si>
  <si>
    <t>锯短散弹枪</t>
  </si>
  <si>
    <t>“这把枪能打烂你的头，千叶城没一个医生能治。”</t>
  </si>
  <si>
    <t>至死不渝的爱</t>
  </si>
  <si>
    <t>一把足够捅穿两个人胸膛的木剑。被捅穿者今生今世无法伤害另一人，寿命共享，一方死去另一方也会死。</t>
  </si>
  <si>
    <t>古木之心</t>
  </si>
  <si>
    <t>充满生命的气息。</t>
  </si>
  <si>
    <t>口琴</t>
  </si>
  <si>
    <t>吹奏它能吸引动物。</t>
  </si>
  <si>
    <t>笔记本</t>
  </si>
  <si>
    <t>夜神月的。</t>
  </si>
  <si>
    <t>魔法坩埚</t>
  </si>
  <si>
    <t>你可以放进去任何东西。</t>
  </si>
  <si>
    <t>镀银子弹</t>
  </si>
  <si>
    <t>我们应该都明白这是用来对付谁的。</t>
  </si>
  <si>
    <t>芯片</t>
  </si>
  <si>
    <t>我们要拥有自己的芯片！</t>
  </si>
  <si>
    <t>不粘锅</t>
  </si>
  <si>
    <t>谁也别想把这锅甩到我身上。</t>
  </si>
  <si>
    <t>全自动抬杠机</t>
  </si>
  <si>
    <t>该死这玩意怎么这么好玩！</t>
  </si>
  <si>
    <t>灵异摄像机</t>
  </si>
  <si>
    <t>这个摄像机……好像只能拍到鬼。</t>
  </si>
  <si>
    <t>万能钥匙</t>
  </si>
  <si>
    <t>你可以用它撬开所有的门！只要你做到的。</t>
  </si>
  <si>
    <t>旧印</t>
  </si>
  <si>
    <t>谁把这个恶心的东西放在这里的！给我丢的远远的！</t>
  </si>
  <si>
    <t>一块黑布</t>
  </si>
  <si>
    <t>事实上这是一块不寻常的黑布，因为它太黑了以至于你在夜晚完全看不到它。</t>
  </si>
  <si>
    <t>生命之水</t>
  </si>
  <si>
    <t>我……还能……喝！满……满上！</t>
  </si>
  <si>
    <t>板砖</t>
  </si>
  <si>
    <t>历经多次混战，质量保证。</t>
  </si>
  <si>
    <t>核能手电筒</t>
  </si>
  <si>
    <t>关于它为什么能如此持久始终是一个谜。</t>
  </si>
  <si>
    <t>单兵战术核弹</t>
  </si>
  <si>
    <t>喜报！我们研制出了单兵作战用核弹！射程可达一千米！什么？你问爆炸范围？就是正常核弹的爆炸范围啊。</t>
  </si>
  <si>
    <t>回城卷轴</t>
  </si>
  <si>
    <t>猜猜你回的会是哪座城市？</t>
  </si>
  <si>
    <t>附魔长剑</t>
  </si>
  <si>
    <t>这把剑上面恒定附着了一个魔法：治疗术。</t>
  </si>
  <si>
    <t>许愿机</t>
  </si>
  <si>
    <t>摇到三个6你就可以许一个愿望。至于能不能实现，谁知道呢。记得，每次摇杆的代价都是一个灵魂。</t>
  </si>
  <si>
    <t>自动门</t>
  </si>
  <si>
    <t>在你进来后会冷不丁关上。免去你关门的烦恼。</t>
  </si>
  <si>
    <t>一个泡在营养液中的大脑</t>
  </si>
  <si>
    <t>请把不要的脑子捐给有需要的人。我可以很自豪地说，我做到了！</t>
  </si>
  <si>
    <t>七龙珠·四星</t>
  </si>
  <si>
    <t>凑齐七颗之前没什么用，顺便一提，你在抽出来这个的时候就注定要被找上门了 。</t>
  </si>
  <si>
    <t>防降智头盔</t>
  </si>
  <si>
    <t>当你戴上去的时候你就会立刻醒悟到你的行为是多么愚蠢。</t>
  </si>
  <si>
    <t>自动造卡机</t>
  </si>
  <si>
    <t>输入你的需求，这台机器会给你一些相关的卡牌。</t>
  </si>
  <si>
    <t>丘比特的半截箭</t>
  </si>
  <si>
    <t>挺好的，就是没有箭头。</t>
  </si>
  <si>
    <t>破旧的小熊玩偶</t>
  </si>
  <si>
    <t>好像曾经是谁的梦境守卫。</t>
  </si>
  <si>
    <t>喧嚣头盔</t>
  </si>
  <si>
    <t>当这顶头盔的主人将它戴上战场，所有的敌人耳边都将回荡着挥之不去的凄厉尖啸。</t>
  </si>
  <si>
    <t>会折射白光的眼镜</t>
  </si>
  <si>
    <t>奇怪的说服力上升了！！！</t>
  </si>
  <si>
    <t>Waaagh</t>
  </si>
  <si>
    <t>在重金属摇滚的声浪里，更大的声浪从中迸发而出“Waaaaaaaaaaagh！！！”</t>
  </si>
  <si>
    <t>狗屎运</t>
  </si>
  <si>
    <t>你踩到了狗屎，今天又是糟糕的一天。</t>
  </si>
  <si>
    <t>失眠</t>
  </si>
  <si>
    <t>今夜是回忆与不安。</t>
  </si>
  <si>
    <t>争鸣</t>
  </si>
  <si>
    <t>这是一种共鸣，当一群有着同一种思想的人聚在一起与另一群人碰撞时，它出生了。</t>
  </si>
  <si>
    <t>陷阱</t>
  </si>
  <si>
    <t>只要在这，总有人会踩中的。</t>
  </si>
  <si>
    <t>揭竿</t>
  </si>
  <si>
    <t>它是代表了一种反抗，纵然最后不一定留下好的结果，但却会被世人铭记。</t>
  </si>
  <si>
    <t>全胜</t>
  </si>
  <si>
    <t>就算是全人类的猜拳比赛，也会有一个人赢到最后，从未输过。</t>
  </si>
  <si>
    <t>陷入哲学</t>
  </si>
  <si>
    <t>我是谁，我在哪，我在干什么？</t>
  </si>
  <si>
    <t>非暴力不合作</t>
  </si>
  <si>
    <t>这是无力者最后的抵抗，或许毫无效果，但能唤醒些什么……</t>
  </si>
  <si>
    <t>偶遇</t>
  </si>
  <si>
    <t>无论如何，你们终于见面了。</t>
  </si>
  <si>
    <t>黑船</t>
  </si>
  <si>
    <t>一个文明对于另一个文明会做些什么呢？看看那黑色的大船吧。</t>
  </si>
  <si>
    <t>摸鱼</t>
  </si>
  <si>
    <t>今天就这样吧。</t>
  </si>
  <si>
    <t>禁酒令</t>
  </si>
  <si>
    <t>一则不可能有任何约束力的命令，却因此滋生了无法控制的东西，这或许是最好的讽刺吧？</t>
  </si>
  <si>
    <t>强制好运</t>
  </si>
  <si>
    <t>扔个硬币吧，正面好运，反面，那就再来一次。</t>
  </si>
  <si>
    <t>开学</t>
  </si>
  <si>
    <t>小朋友们可高兴了。</t>
  </si>
  <si>
    <t>语音输入</t>
  </si>
  <si>
    <t>安静！吵到我用TNT了！</t>
  </si>
  <si>
    <t>告白失败</t>
  </si>
  <si>
    <t>你真好，我不配你。</t>
  </si>
  <si>
    <t>天晴</t>
  </si>
  <si>
    <t>这已经是这里第2^348854876487天没见到乌云了……</t>
  </si>
  <si>
    <t>鸟嘴医生</t>
  </si>
  <si>
    <t>医生反而成为了疾病的代表，那一切都源于那个事件……</t>
  </si>
  <si>
    <t>告白成功</t>
  </si>
  <si>
    <t>又可以继续玩耍了呢。</t>
  </si>
  <si>
    <t>生病</t>
  </si>
  <si>
    <t>医生怎么说？</t>
  </si>
  <si>
    <t>天狗食日</t>
  </si>
  <si>
    <t>好吃！</t>
  </si>
  <si>
    <t>喷射</t>
  </si>
  <si>
    <t>火力优势学说。</t>
  </si>
  <si>
    <t>雾都杰克</t>
  </si>
  <si>
    <t>他的名字代表着一种解不开的谜团，他的代表作引起了大量的悲鸣以及尖叫，他就是事件的名称。</t>
  </si>
  <si>
    <t>脉搏</t>
  </si>
  <si>
    <t>死去的东西又活过来了。</t>
  </si>
  <si>
    <t>不要在寝室里面用电磁炉。</t>
  </si>
  <si>
    <t>漫无止境的八月</t>
  </si>
  <si>
    <t>在完成特定的目标之前，一切的一切都会反复轮回，就像是一出沉默的戏剧。</t>
  </si>
  <si>
    <t>来斗地主吧</t>
  </si>
  <si>
    <t>四个二带两对4！四个ace带两对3！四个k！</t>
  </si>
  <si>
    <t>也许是做多了白日梦。</t>
  </si>
  <si>
    <t>演讲</t>
  </si>
  <si>
    <t>慷慨陈词。</t>
  </si>
  <si>
    <t>摔倒</t>
  </si>
  <si>
    <t>脸朝上还是朝下自己选。</t>
  </si>
  <si>
    <t>开车</t>
  </si>
  <si>
    <t>加速！加速！</t>
  </si>
  <si>
    <t>非洲人就不能玩了吗？</t>
  </si>
  <si>
    <t>三回合所有人手里全是白卡，无论是不是彩卡。</t>
  </si>
  <si>
    <t>突发奇想</t>
  </si>
  <si>
    <t>有可能改变历史，有可能随风而去。</t>
  </si>
  <si>
    <t>击中核心区</t>
  </si>
  <si>
    <t>天皇住在二号炮塔。</t>
  </si>
  <si>
    <t>战沉</t>
  </si>
  <si>
    <t>队友真坑。</t>
  </si>
  <si>
    <t>水溅跃</t>
  </si>
  <si>
    <t>鲤鱼王的拿手绝活。</t>
  </si>
  <si>
    <t>上课</t>
  </si>
  <si>
    <t>起立！敬礼！</t>
  </si>
  <si>
    <t>变身！</t>
  </si>
  <si>
    <t>嘞蛋裤！豆豆鞋！社会搭配！跳跃的社会舞者！假面骑士！牌牌骑！monkey！</t>
  </si>
  <si>
    <t>跳弹</t>
  </si>
  <si>
    <t>我们未能击穿敌人的装甲！</t>
  </si>
  <si>
    <t>卧谈会</t>
  </si>
  <si>
    <t>增进情感的好机会。</t>
  </si>
  <si>
    <t>过穿</t>
  </si>
  <si>
    <t>幸好它没有在里面爆炸。</t>
  </si>
  <si>
    <t>威慑</t>
  </si>
  <si>
    <t>送你个小男孩？再送你个胖子！啥？你不要？都给你了，收着吧！</t>
  </si>
  <si>
    <t>缺水</t>
  </si>
  <si>
    <t>水是重要元素，不过现在要没有了。</t>
  </si>
  <si>
    <t>断粮</t>
  </si>
  <si>
    <t>真是惨，我们投降吧。</t>
  </si>
  <si>
    <t>刑讯</t>
  </si>
  <si>
    <t>我们是敌对关系？还是主仆关系？</t>
  </si>
  <si>
    <t>生火</t>
  </si>
  <si>
    <t>蕴含大量能量需要一个合适的释放。</t>
  </si>
  <si>
    <t>不思蜀</t>
  </si>
  <si>
    <t>这里有好多漂亮大姐姐啊。</t>
  </si>
  <si>
    <t>阿巴阿巴</t>
  </si>
  <si>
    <t>歪比巴布？</t>
  </si>
  <si>
    <t>xp丛生</t>
  </si>
  <si>
    <t>引力子和超新星超骚。</t>
  </si>
  <si>
    <t>考试</t>
  </si>
  <si>
    <t>不要让我逮着你作弊。</t>
  </si>
  <si>
    <t>资敌</t>
  </si>
  <si>
    <t>这钱投给他们，我赚了呀。</t>
  </si>
  <si>
    <t>发言</t>
  </si>
  <si>
    <t>咳咳，我要讲话了。</t>
  </si>
  <si>
    <t>干旱</t>
  </si>
  <si>
    <t>庄稼，我的庄稼啊！</t>
  </si>
  <si>
    <t>闭麦</t>
  </si>
  <si>
    <t>哔——</t>
  </si>
  <si>
    <t>下课</t>
  </si>
  <si>
    <t>同学们，请休息吧。</t>
  </si>
  <si>
    <t>熟睡</t>
  </si>
  <si>
    <t>如婴儿般。</t>
  </si>
  <si>
    <t>超级月亮</t>
  </si>
  <si>
    <t>吃饱了变胖了。</t>
  </si>
  <si>
    <t>放假</t>
  </si>
  <si>
    <t>小朋友们可难受了。</t>
  </si>
  <si>
    <t>失业</t>
  </si>
  <si>
    <t>和灰暗的生活说再见。</t>
  </si>
  <si>
    <t>错过</t>
  </si>
  <si>
    <t>我，是不是失去了什么？</t>
  </si>
  <si>
    <t>再就业</t>
  </si>
  <si>
    <t>明天还有希望呢，不是么？</t>
  </si>
  <si>
    <t>买彩票</t>
  </si>
  <si>
    <t>这里有两元钱，买吧。</t>
  </si>
  <si>
    <t>禁武令</t>
  </si>
  <si>
    <t>侠以武犯法，唉，要变天啦。</t>
  </si>
  <si>
    <t>四叶草</t>
  </si>
  <si>
    <t>路边遇到的绿色植物呢，今天估计一天都会很不错吧？</t>
  </si>
  <si>
    <t>投资</t>
  </si>
  <si>
    <t>对，抄底！明天一定大赚！什么？熔断？？</t>
  </si>
  <si>
    <t>天地正气，驱逐鬼魅。</t>
  </si>
  <si>
    <t>地火</t>
  </si>
  <si>
    <t>这搁着凭啥就烧起来了啊。</t>
  </si>
  <si>
    <t>相亲</t>
  </si>
  <si>
    <t>谁不喜欢和爱的人在一起？</t>
  </si>
  <si>
    <t>吃饭</t>
  </si>
  <si>
    <t>嗝～</t>
  </si>
  <si>
    <t>离异</t>
  </si>
  <si>
    <t>但总是事与愿违。</t>
  </si>
  <si>
    <t>呕吐</t>
  </si>
  <si>
    <t>呕——</t>
  </si>
  <si>
    <t>起义</t>
  </si>
  <si>
    <t>我发现了正义的一方。</t>
  </si>
  <si>
    <t>改革</t>
  </si>
  <si>
    <t>总有人得做出改变，我来吧。</t>
  </si>
  <si>
    <t>空袭</t>
  </si>
  <si>
    <t>不用担心他们精度很差。</t>
  </si>
  <si>
    <t>冲锋</t>
  </si>
  <si>
    <t>不要停下来啊。</t>
  </si>
  <si>
    <t>警报</t>
  </si>
  <si>
    <t>大家都快去防空洞！</t>
  </si>
  <si>
    <t>阻碍</t>
  </si>
  <si>
    <t>看看这大盾，你过得去么？</t>
  </si>
  <si>
    <t>经济萧条</t>
  </si>
  <si>
    <t>很正常，我又给自己掘了一个更大的坑。</t>
  </si>
  <si>
    <t>丰收</t>
  </si>
  <si>
    <t>谷贱伤农啊。</t>
  </si>
  <si>
    <t>斯福新政</t>
  </si>
  <si>
    <t>用你们的劳动来换取那些东西，动起来，小伙子们！</t>
  </si>
  <si>
    <t>颗粒无收</t>
  </si>
  <si>
    <t>今年怎么过活啊？</t>
  </si>
  <si>
    <t>歉收</t>
  </si>
  <si>
    <t>颗粒无收。</t>
  </si>
  <si>
    <t>人均奢侈</t>
  </si>
  <si>
    <t>那么代价是什么呢？</t>
  </si>
  <si>
    <t>睡觉</t>
  </si>
  <si>
    <t>困了，还好我在床上。</t>
  </si>
  <si>
    <t>早安</t>
  </si>
  <si>
    <t>新的一天呢，大家也早！</t>
  </si>
  <si>
    <t>重选</t>
  </si>
  <si>
    <t>因为它们不像你一样强大呀。</t>
  </si>
  <si>
    <t>混乱</t>
  </si>
  <si>
    <t>之后3回合，所有卡都可以抽到。</t>
  </si>
  <si>
    <t>复读</t>
  </si>
  <si>
    <t>人类的本质。</t>
  </si>
  <si>
    <t>明天有雨</t>
  </si>
  <si>
    <t>不管你在哪，天气预报说明天有雨，记得带伞。</t>
  </si>
  <si>
    <t>体育竞技比赛</t>
  </si>
  <si>
    <t>可以是nba也可以是欧冠甚至可以是斯诺克，随便你怎么决定。</t>
  </si>
  <si>
    <t>坍塌</t>
  </si>
  <si>
    <t>我们要严查豆腐渣工程！</t>
  </si>
  <si>
    <t>海平面上升</t>
  </si>
  <si>
    <t>不就每年几厘米，别指望有什么快速见效。</t>
  </si>
  <si>
    <t>流感</t>
  </si>
  <si>
    <t>或许没有病毒来的有名，但是偶尔会替病毒背锅。</t>
  </si>
  <si>
    <t>安慰</t>
  </si>
  <si>
    <t>别哭了别哭了。</t>
  </si>
  <si>
    <t>巧合</t>
  </si>
  <si>
    <t>请选择富有戏剧性的可能性。</t>
  </si>
  <si>
    <t>休眠</t>
  </si>
  <si>
    <t>节能状态，机能停止，等待唤醒。</t>
  </si>
  <si>
    <t>整齐</t>
  </si>
  <si>
    <t>系统内部的混乱度减少了，同时满足强迫症。</t>
  </si>
  <si>
    <t>傲娇</t>
  </si>
  <si>
    <t>喜闻乐见的属性。</t>
  </si>
  <si>
    <t>副作用</t>
  </si>
  <si>
    <t>除了目的以外的作用，有好有坏，事情不总是单纯的。</t>
  </si>
  <si>
    <t>厌倦</t>
  </si>
  <si>
    <t>不能总是做一件事。</t>
  </si>
  <si>
    <t>漩涡</t>
  </si>
  <si>
    <t>混合并搅拌……请注意力度。</t>
  </si>
  <si>
    <t>误差</t>
  </si>
  <si>
    <t>有的可以避免，有的不行。</t>
  </si>
  <si>
    <t>文字</t>
  </si>
  <si>
    <t>文明的象征之一。</t>
  </si>
  <si>
    <t>妥协</t>
  </si>
  <si>
    <t>妥协虽好，可不要贪杯哦。</t>
  </si>
  <si>
    <t>远方</t>
  </si>
  <si>
    <t>在现实很远，在梦中很近。</t>
  </si>
  <si>
    <t>零</t>
  </si>
  <si>
    <t>一个崭新的概念，所谓无用之用。</t>
  </si>
  <si>
    <t>歧视</t>
  </si>
  <si>
    <t>我生平最讨厌两种人，黑人，歧视别人的人，还有不会数数的人。</t>
  </si>
  <si>
    <t>掉头发</t>
  </si>
  <si>
    <t>一抓一大把。</t>
  </si>
  <si>
    <t>敷衍</t>
  </si>
  <si>
    <t>实际上远没有看上去那么美好。</t>
  </si>
  <si>
    <t>自我认知</t>
  </si>
  <si>
    <t>镜中的那个也是我吗？</t>
  </si>
  <si>
    <t>爱</t>
  </si>
  <si>
    <t>心与心。</t>
  </si>
  <si>
    <t>悲伤</t>
  </si>
  <si>
    <t>我过的还好，只是想你了。</t>
  </si>
  <si>
    <t>拟态</t>
  </si>
  <si>
    <t>让我披上伪装，隐藏自己的模样。</t>
  </si>
  <si>
    <t>出芽生殖</t>
  </si>
  <si>
    <t>珊瑚虫的第一选择，不来试试吗？</t>
  </si>
  <si>
    <t>利他主义</t>
  </si>
  <si>
    <t>stay together, stay strong.</t>
  </si>
  <si>
    <t>幽默感</t>
  </si>
  <si>
    <t>有一只麒麟很冷，于是它变成了冰淇淋。</t>
  </si>
  <si>
    <t>联合</t>
  </si>
  <si>
    <t>在这，这还有这签字，好啦，我们现在是一家人了。</t>
  </si>
  <si>
    <t>光合作用</t>
  </si>
  <si>
    <t>来自太阳的力量！</t>
  </si>
  <si>
    <t>抽象</t>
  </si>
  <si>
    <t>把像的部分抽走。</t>
  </si>
  <si>
    <t>主义</t>
  </si>
  <si>
    <t>一个代表高度概括的名词。</t>
  </si>
  <si>
    <t>约定</t>
  </si>
  <si>
    <t>拉钩上吊一百年不许变。</t>
  </si>
  <si>
    <t>反对</t>
  </si>
  <si>
    <t>我反对你对我的反对。</t>
  </si>
  <si>
    <t>悲泣</t>
  </si>
  <si>
    <t>呜哇。</t>
  </si>
  <si>
    <t>这是趋向的伟力！</t>
  </si>
  <si>
    <t>热爱</t>
  </si>
  <si>
    <t>没有什么能阻挡我的热情。</t>
  </si>
  <si>
    <t>修正</t>
  </si>
  <si>
    <t>协议更正，已消除影响因素。</t>
  </si>
  <si>
    <t>经纬线</t>
  </si>
  <si>
    <t>请先确定两极和赤道。</t>
  </si>
  <si>
    <t>语言</t>
  </si>
  <si>
    <t>毁约</t>
  </si>
  <si>
    <t>这就是你的条约？</t>
  </si>
  <si>
    <t>诗</t>
  </si>
  <si>
    <t>美妙且富有旋律。</t>
  </si>
  <si>
    <t>一</t>
  </si>
  <si>
    <t>存在的凭依。</t>
  </si>
  <si>
    <t>平等</t>
  </si>
  <si>
    <t>我们都该拥有相等的权益！</t>
  </si>
  <si>
    <t>正反馈</t>
  </si>
  <si>
    <t>雪球会越滚越大。</t>
  </si>
  <si>
    <t>真诚</t>
  </si>
  <si>
    <t>一点点真诚，战胜一点点敷衍。</t>
  </si>
  <si>
    <t>精致利己主义</t>
  </si>
  <si>
    <t>凭啥？</t>
  </si>
  <si>
    <t>恨</t>
  </si>
  <si>
    <t>误会。</t>
  </si>
  <si>
    <t>辱骂</t>
  </si>
  <si>
    <t>废物活着的原因是什么呢？</t>
  </si>
  <si>
    <t>开心</t>
  </si>
  <si>
    <t>和我去公园玩吧！</t>
  </si>
  <si>
    <t>学派</t>
  </si>
  <si>
    <t>现实和真理都有很多解释方法。</t>
  </si>
  <si>
    <t>离别</t>
  </si>
  <si>
    <t>折柳赠予你。</t>
  </si>
  <si>
    <t>无氧呼吸</t>
  </si>
  <si>
    <t>O2? NO NEED!</t>
  </si>
  <si>
    <t>具象</t>
  </si>
  <si>
    <t>把像的部分还回来。</t>
  </si>
  <si>
    <t>同意</t>
  </si>
  <si>
    <t>我同意你的同意。</t>
  </si>
  <si>
    <t>重逢</t>
  </si>
  <si>
    <t>好久不见，你好。</t>
  </si>
  <si>
    <t>坠落</t>
  </si>
  <si>
    <t>牛顿欣慰地合上了棺材。</t>
  </si>
  <si>
    <t>光速</t>
  </si>
  <si>
    <t>一个恒定的数值。</t>
  </si>
  <si>
    <t>可乐万岁</t>
  </si>
  <si>
    <t>这种饮品渐渐统治了我们的生活。</t>
  </si>
  <si>
    <t>明天</t>
  </si>
  <si>
    <t>事情好多啊，明天再做吧……zzzz</t>
  </si>
  <si>
    <t>八卦</t>
  </si>
  <si>
    <t>酒足饭饱，茶余饭后。</t>
  </si>
  <si>
    <t>白色</t>
  </si>
  <si>
    <t>无暇，待人联想。</t>
  </si>
  <si>
    <t>咕咕</t>
  </si>
  <si>
    <t>咕咕咕？</t>
  </si>
  <si>
    <t>绝食</t>
  </si>
  <si>
    <t>不吃了！</t>
  </si>
  <si>
    <t>禁止事项</t>
  </si>
  <si>
    <t>不准咕，也不准吃！</t>
  </si>
  <si>
    <t>无用</t>
  </si>
  <si>
    <t>没有意义。</t>
  </si>
  <si>
    <t>发炎</t>
  </si>
  <si>
    <t>我是指，今天你和病毒必须死一个。</t>
  </si>
  <si>
    <t>精神寄托</t>
  </si>
  <si>
    <t>你把一切放在这种东西上？</t>
  </si>
  <si>
    <t>奇迹</t>
  </si>
  <si>
    <t>什么是奇迹？死而复生就是奇迹。</t>
  </si>
  <si>
    <t>衰竭</t>
  </si>
  <si>
    <t>这个器官已经被污秽的异族腐化的太深以至于没有挽回的余地，为了神圣血脑王座，我们不得不对其下达灭绝令。</t>
  </si>
  <si>
    <t>政变</t>
  </si>
  <si>
    <t>不能再犹豫了，一定要出重拳。</t>
  </si>
  <si>
    <t>生存</t>
  </si>
  <si>
    <t>不想死，所以不会死。</t>
  </si>
  <si>
    <t>快乐</t>
  </si>
  <si>
    <t>快乐，呵，哈哈哈哈哈哈！哈哈哈！我讨厌一切让人快乐的东西！</t>
  </si>
  <si>
    <t>圣土（粉末）</t>
  </si>
  <si>
    <t>只要踩上去就会加强自身的土壤，但太少了。为什么不试试把它撒在鞋里？</t>
  </si>
  <si>
    <t>拖延症</t>
  </si>
  <si>
    <t>明天一定。</t>
  </si>
  <si>
    <t>薛定谔的咕</t>
  </si>
  <si>
    <t>如果我说我咕了但我没有咕，那我就咕了我的咕。</t>
  </si>
  <si>
    <t>忒修斯之船</t>
  </si>
  <si>
    <t>你还是你吗？</t>
  </si>
  <si>
    <t>芝诺的乌龟</t>
  </si>
  <si>
    <t>我永远也追不上那只乌龟了。</t>
  </si>
  <si>
    <t>换位思考</t>
  </si>
  <si>
    <t>切……偶然似乎确实应该考虑别人的想法。</t>
  </si>
  <si>
    <t>高压可乐枪</t>
  </si>
  <si>
    <t>涂装是红色的——战争冲突性不言而喻。</t>
  </si>
  <si>
    <t>满载的自动售货机</t>
  </si>
  <si>
    <t>装满了各种汽水饮料……今日特价：崂山白花蛇草水！</t>
  </si>
  <si>
    <t>可口可乐销售人员</t>
  </si>
  <si>
    <t>主要职责：回绝零售商对香草味可乐的入货要求。</t>
  </si>
  <si>
    <t>龙衰</t>
  </si>
  <si>
    <t>一个不明因素正在让巨龙变得短寿、弱小和衰竭。</t>
  </si>
  <si>
    <t>似是而非的神迹</t>
  </si>
  <si>
    <t>或许这是神存在的证明，或许不是。</t>
  </si>
  <si>
    <t>蒸汽的发现</t>
  </si>
  <si>
    <t>我们将用滚烫的水，拉动整个世界。</t>
  </si>
  <si>
    <t>蒸汽的滥用</t>
  </si>
  <si>
    <t>挖光并燃烧所有煤炭，直至无法呼吸。</t>
  </si>
  <si>
    <t>黑烟雾霾</t>
  </si>
  <si>
    <t>天空和阳光深深地隐藏在黑雾之上。</t>
  </si>
  <si>
    <t>灵光再闪</t>
  </si>
  <si>
    <t>可乐狂魔</t>
  </si>
  <si>
    <t>嗜好可乐成病的疯子，会袭击每一个拿着苏打水的路人！</t>
  </si>
  <si>
    <t>祝你好梦</t>
  </si>
  <si>
    <t>在看不到尽头的现实中苦苦挣扎直到在绝望中死去，还是拥抱美好的幻象毫无痛苦地迎来终局，这不难选吧？</t>
  </si>
  <si>
    <t>火山</t>
  </si>
  <si>
    <t>瀑布</t>
  </si>
  <si>
    <t>水文</t>
  </si>
  <si>
    <t>天幕</t>
  </si>
  <si>
    <t>沃土</t>
  </si>
  <si>
    <t>政体演化</t>
  </si>
  <si>
    <t>种族主义</t>
  </si>
  <si>
    <t>地下洞穴</t>
  </si>
  <si>
    <t>溶洞</t>
  </si>
  <si>
    <t>上古传说</t>
  </si>
  <si>
    <t>树海</t>
  </si>
  <si>
    <t>沼泽</t>
  </si>
  <si>
    <t>自杀</t>
  </si>
  <si>
    <t>背叛</t>
  </si>
  <si>
    <t>不可知论</t>
  </si>
  <si>
    <t>机械</t>
  </si>
  <si>
    <t>农耕文明</t>
  </si>
  <si>
    <t>食物链</t>
  </si>
  <si>
    <t>有性生殖</t>
  </si>
  <si>
    <t>追回</t>
  </si>
  <si>
    <t>牵制</t>
  </si>
  <si>
    <t>兵器</t>
  </si>
  <si>
    <t>采矿技术</t>
  </si>
  <si>
    <t>钢铁</t>
  </si>
  <si>
    <t>律法</t>
  </si>
  <si>
    <t>契约资产</t>
  </si>
  <si>
    <t>思考</t>
  </si>
  <si>
    <t>文明</t>
  </si>
  <si>
    <t>医疗</t>
  </si>
  <si>
    <t>制作工具</t>
  </si>
  <si>
    <t>众灵平等</t>
  </si>
  <si>
    <t>传承</t>
  </si>
  <si>
    <t>腐朽</t>
  </si>
  <si>
    <t>机械改造</t>
  </si>
  <si>
    <t>继承</t>
  </si>
  <si>
    <t>狂想</t>
  </si>
  <si>
    <t>启示</t>
  </si>
  <si>
    <t>天赋</t>
  </si>
  <si>
    <t>岩浆</t>
  </si>
  <si>
    <t>堰渠修筑</t>
  </si>
  <si>
    <t>追求</t>
  </si>
  <si>
    <t>自转</t>
  </si>
  <si>
    <t>虚构</t>
  </si>
  <si>
    <t>地圆说</t>
  </si>
  <si>
    <t>发现</t>
  </si>
  <si>
    <t>分析</t>
  </si>
  <si>
    <t>理解</t>
  </si>
  <si>
    <t>垄作法</t>
  </si>
  <si>
    <t>认识</t>
  </si>
  <si>
    <t>私田</t>
  </si>
  <si>
    <t>文学</t>
  </si>
  <si>
    <t>捕捞技术</t>
  </si>
  <si>
    <t>采集技术</t>
  </si>
  <si>
    <t>草药亲和</t>
  </si>
  <si>
    <t>代田法</t>
  </si>
  <si>
    <t>繁衍</t>
  </si>
  <si>
    <t>繁殖</t>
  </si>
  <si>
    <t>个人资产</t>
  </si>
  <si>
    <t>建筑</t>
  </si>
  <si>
    <t>教会</t>
  </si>
  <si>
    <t>井田制</t>
  </si>
  <si>
    <t>轮子</t>
  </si>
  <si>
    <t>酿造工艺</t>
  </si>
  <si>
    <t>曲辕犁</t>
  </si>
  <si>
    <t>神谕</t>
  </si>
  <si>
    <t>手工制作</t>
  </si>
  <si>
    <t>养殖技术</t>
  </si>
  <si>
    <t>增殖</t>
  </si>
  <si>
    <t>种植技术</t>
  </si>
  <si>
    <t>典籍</t>
  </si>
  <si>
    <t>公转</t>
  </si>
  <si>
    <t>好奇心</t>
  </si>
  <si>
    <t>记录</t>
  </si>
  <si>
    <t>简易机械</t>
  </si>
  <si>
    <t>交流</t>
  </si>
  <si>
    <t>交易</t>
  </si>
  <si>
    <t>祛邪光环</t>
  </si>
  <si>
    <t>思维</t>
  </si>
  <si>
    <t>思想</t>
  </si>
  <si>
    <t>协议</t>
  </si>
  <si>
    <t>以物易物</t>
  </si>
  <si>
    <t>植物扩殖</t>
  </si>
  <si>
    <t>昼夜</t>
  </si>
  <si>
    <t>剧毒</t>
  </si>
  <si>
    <t>彩票</t>
  </si>
  <si>
    <t>创造</t>
  </si>
  <si>
    <t>刀耕火种</t>
  </si>
  <si>
    <t>黑商</t>
  </si>
  <si>
    <t>基础货币</t>
  </si>
  <si>
    <t>金钱</t>
  </si>
  <si>
    <t>冷兵器</t>
  </si>
  <si>
    <t>生产</t>
  </si>
  <si>
    <t>书写工具</t>
  </si>
  <si>
    <t>筒车</t>
  </si>
  <si>
    <t>心理疾病</t>
  </si>
  <si>
    <t>营养</t>
  </si>
  <si>
    <t>植物研究</t>
  </si>
  <si>
    <t>资源</t>
  </si>
  <si>
    <t>和平协议</t>
  </si>
  <si>
    <t>家畜</t>
  </si>
  <si>
    <t>家禽</t>
  </si>
  <si>
    <t>奴隶制</t>
  </si>
  <si>
    <t>热量</t>
  </si>
  <si>
    <t>热能</t>
  </si>
  <si>
    <t>性别</t>
  </si>
  <si>
    <t>冶炼</t>
  </si>
  <si>
    <t>长生</t>
  </si>
  <si>
    <t>宗法制</t>
  </si>
  <si>
    <t>保守</t>
  </si>
  <si>
    <t>潮汐</t>
  </si>
  <si>
    <t>灌溉渠</t>
  </si>
  <si>
    <t>蕨类植物</t>
  </si>
  <si>
    <t>鸟类</t>
  </si>
  <si>
    <t>排外</t>
  </si>
  <si>
    <t>水生藤本植物</t>
  </si>
  <si>
    <t>黄泉</t>
  </si>
  <si>
    <t>锻造</t>
  </si>
  <si>
    <t>积累</t>
  </si>
  <si>
    <t>进攻防守</t>
  </si>
  <si>
    <t>历史记录者</t>
  </si>
  <si>
    <t>牛耕</t>
  </si>
  <si>
    <t>农用储水池</t>
  </si>
  <si>
    <t>水循环</t>
  </si>
  <si>
    <t>探索</t>
  </si>
  <si>
    <t>湍急</t>
  </si>
  <si>
    <t>异常知识</t>
  </si>
  <si>
    <t>良性</t>
  </si>
  <si>
    <t>地衣</t>
  </si>
  <si>
    <t>鳄鱼</t>
  </si>
  <si>
    <t>耕牛</t>
  </si>
  <si>
    <t>弓形虫</t>
  </si>
  <si>
    <t>海藻</t>
  </si>
  <si>
    <t>饥荒</t>
  </si>
  <si>
    <t>技巧</t>
  </si>
  <si>
    <t>寄生虫</t>
  </si>
  <si>
    <t>耒耜</t>
  </si>
  <si>
    <t>水车磨坊</t>
  </si>
  <si>
    <t>瘟疫</t>
  </si>
  <si>
    <t>征兆</t>
  </si>
  <si>
    <t>种子</t>
  </si>
  <si>
    <t>癌细胞</t>
  </si>
  <si>
    <t>彩虹</t>
  </si>
  <si>
    <t>端粒体</t>
  </si>
  <si>
    <t>分裂</t>
  </si>
  <si>
    <t>昆虫大爆发</t>
  </si>
  <si>
    <t>水车</t>
  </si>
  <si>
    <t>细胞</t>
  </si>
  <si>
    <t>原核生物</t>
  </si>
  <si>
    <t>变异</t>
  </si>
  <si>
    <t>刺胞动物</t>
  </si>
  <si>
    <t>恩赐</t>
  </si>
  <si>
    <t>歧义</t>
  </si>
  <si>
    <t>烧烤</t>
  </si>
  <si>
    <t>铁犁</t>
  </si>
  <si>
    <t>最微小的一类生物，却十分不可或缺</t>
  </si>
  <si>
    <t>硝化菌</t>
  </si>
  <si>
    <t>小藻球</t>
  </si>
  <si>
    <t>意外</t>
  </si>
  <si>
    <t>游历记录者</t>
  </si>
  <si>
    <t>蟑螂</t>
  </si>
  <si>
    <t>比赛</t>
  </si>
  <si>
    <t>辩论</t>
  </si>
  <si>
    <t>不平等合约</t>
  </si>
  <si>
    <t>地理大发现</t>
  </si>
  <si>
    <t>纷争</t>
  </si>
  <si>
    <t>扩张</t>
  </si>
  <si>
    <t>盟约</t>
  </si>
  <si>
    <t>微生物</t>
  </si>
  <si>
    <t>易燃</t>
  </si>
  <si>
    <t>占领</t>
  </si>
  <si>
    <t>战争</t>
  </si>
  <si>
    <t>菌类</t>
  </si>
  <si>
    <t>斗争</t>
  </si>
  <si>
    <t>法院</t>
  </si>
  <si>
    <t>隔绝</t>
  </si>
  <si>
    <t>畸变</t>
  </si>
  <si>
    <t>迁徙</t>
  </si>
  <si>
    <t>权威</t>
  </si>
  <si>
    <t>赦免</t>
  </si>
  <si>
    <t>施肥</t>
  </si>
  <si>
    <t>吞并</t>
  </si>
  <si>
    <t>无常</t>
  </si>
  <si>
    <t>宴会</t>
  </si>
  <si>
    <t>御史台</t>
  </si>
  <si>
    <t>超级传播者</t>
  </si>
  <si>
    <t>冲突</t>
  </si>
  <si>
    <t>仇恨</t>
  </si>
  <si>
    <t>奴役</t>
  </si>
  <si>
    <t>生育</t>
  </si>
  <si>
    <t>疏离</t>
  </si>
  <si>
    <t>统治欲</t>
  </si>
  <si>
    <t>突变</t>
  </si>
  <si>
    <t>象征</t>
  </si>
  <si>
    <t>妖魔化</t>
  </si>
  <si>
    <t>施加</t>
  </si>
  <si>
    <t>无害</t>
  </si>
  <si>
    <t>部落族群</t>
  </si>
  <si>
    <t>部族</t>
  </si>
  <si>
    <t>基础鼓风锻炉</t>
  </si>
  <si>
    <t>家族</t>
  </si>
  <si>
    <t>开辟领地</t>
  </si>
  <si>
    <t>领袖气质</t>
  </si>
  <si>
    <t>木屋</t>
  </si>
  <si>
    <t>田地</t>
  </si>
  <si>
    <t>无畏</t>
  </si>
  <si>
    <t>仪式</t>
  </si>
  <si>
    <t>种族领袖</t>
  </si>
  <si>
    <t>代言人</t>
  </si>
  <si>
    <t>噩梦</t>
  </si>
  <si>
    <t>饥饿</t>
  </si>
  <si>
    <t>激素</t>
  </si>
  <si>
    <t>静止</t>
  </si>
  <si>
    <t>随机性</t>
  </si>
  <si>
    <t>图腾崇拜</t>
  </si>
  <si>
    <t>新陈代谢</t>
  </si>
  <si>
    <t>吟游诗人</t>
  </si>
  <si>
    <t>英雄</t>
  </si>
  <si>
    <t>偶像崇拜</t>
  </si>
  <si>
    <t>情人节</t>
  </si>
  <si>
    <t>由单身狗的哀嚎和现充们的欢笑交织而成的一天。</t>
  </si>
  <si>
    <t>糟糕的一天</t>
  </si>
  <si>
    <t>详情请参考由DC出品的漫画《致命玩笑》。</t>
  </si>
  <si>
    <t>神棍的预言</t>
  </si>
  <si>
    <t>可信度极低的预言，但……也说不定。</t>
  </si>
  <si>
    <t>大碰撞</t>
  </si>
  <si>
    <t>大碰撞之后是毁灭还是新生？</t>
  </si>
  <si>
    <t>回归</t>
  </si>
  <si>
    <t>是什么事情使你回来呢？是死亡，还是新生?</t>
  </si>
  <si>
    <t>魔高一丈</t>
  </si>
  <si>
    <t>正不胜邪，这就是现实。</t>
  </si>
  <si>
    <t>灵感与火花</t>
  </si>
  <si>
    <t>上帝保佑，这真是一个绝妙的想法，我得找一张纸，或许还有墨水。</t>
  </si>
  <si>
    <t>绝望</t>
  </si>
  <si>
    <t>泯灭的生机、断绝的欲望、停滞的思考、黑暗的彼方</t>
  </si>
  <si>
    <t>内边的技师小子！俺寻思把虾米的哒咔整到背后俺也能飞，俺寻思涂个红色就齐活叻。</t>
  </si>
  <si>
    <t>食人</t>
  </si>
  <si>
    <t>拜托，我可是文明人。</t>
  </si>
  <si>
    <t>中暑</t>
  </si>
  <si>
    <t>弱肉强食，一切借口都变得理所应当，甚至没有借口。</t>
  </si>
  <si>
    <t>挑战</t>
  </si>
  <si>
    <t>这是一场「试炼」，我认为这是一场让我战胜过去「试炼」，我接受了，只有在跨越那不成熟的过去后，拥有新的觉悟，人才能有所成长。</t>
  </si>
  <si>
    <t>隐忍</t>
  </si>
  <si>
    <t>慢些，再慢些……只有这样才能不被发现。</t>
  </si>
  <si>
    <t>也许人的悲欢并不相通，但我坚信人类互相理解的可能。</t>
  </si>
  <si>
    <t>相互理解</t>
  </si>
  <si>
    <t>被理解不是一种固有的权利，是一种特权。</t>
  </si>
  <si>
    <t>魔术</t>
  </si>
  <si>
    <t>与神迹无异，至少在被拆穿之前。</t>
  </si>
  <si>
    <t>极限</t>
  </si>
  <si>
    <t>万物都有极限，但也许你能去尝试突破一下。</t>
  </si>
  <si>
    <t>前进</t>
  </si>
  <si>
    <t>人是为了明天存在的，我们活在未来。</t>
  </si>
  <si>
    <t>绝对理性</t>
  </si>
  <si>
    <t>挣脱枷锁，利益至上。</t>
  </si>
  <si>
    <t>神灵会眷顾信仰者。</t>
  </si>
  <si>
    <t>职位</t>
  </si>
  <si>
    <t>每个人会做的事都不一样，决定做什么，发扬光大。</t>
  </si>
  <si>
    <t>绝对感性</t>
  </si>
  <si>
    <t>像个孩子一样。</t>
  </si>
  <si>
    <t>感情极致</t>
  </si>
  <si>
    <t>某种感情达到极限或突破，力量由此而生。</t>
  </si>
  <si>
    <t>梦网</t>
  </si>
  <si>
    <t>所有的梦，都连接在一起，我们从不孤单。</t>
  </si>
  <si>
    <t>艺术品</t>
  </si>
  <si>
    <t>啧，虽然说人各有其好，但你挑的是啥啊？</t>
  </si>
  <si>
    <t>相信</t>
  </si>
  <si>
    <t>相信是一种力量，坚固又脆弱。</t>
  </si>
  <si>
    <t>结束</t>
  </si>
  <si>
    <t>结束了？开始了？</t>
  </si>
  <si>
    <t>这是精神的支柱，是人格的核心。</t>
  </si>
  <si>
    <t>剧本</t>
  </si>
  <si>
    <t>有些事必定发生，但也许你可以篡改剧本……吧？</t>
  </si>
  <si>
    <t>起点</t>
  </si>
  <si>
    <t>一个小小的起点，也是上一个故事的终点。</t>
  </si>
  <si>
    <t>无用的发明家</t>
  </si>
  <si>
    <t>老铁们，这是我发明的自动洗头机。</t>
  </si>
  <si>
    <t>学者</t>
  </si>
  <si>
    <t>探索世界的道路永无止境。</t>
  </si>
  <si>
    <t>歌唱家</t>
  </si>
  <si>
    <t>她在模仿地外的歌谣，意图唤醒她的主。</t>
  </si>
  <si>
    <t>观测者</t>
  </si>
  <si>
    <t>被他所观测到的事物将丢失其非凡特性。</t>
  </si>
  <si>
    <t>夜光史莱姆</t>
  </si>
  <si>
    <t>常见的史莱姆，但是能发光。</t>
  </si>
  <si>
    <t>公主</t>
  </si>
  <si>
    <t>正呆在恶龙的老巢里，对龙族料理有颇多怨言。</t>
  </si>
  <si>
    <t>导师</t>
  </si>
  <si>
    <t>你是一位伟大导师……的导师……之一。</t>
  </si>
  <si>
    <t>报时员</t>
  </si>
  <si>
    <t>现在是2020年2月11日13点56分！</t>
  </si>
  <si>
    <t>武尊</t>
  </si>
  <si>
    <t>過去的我，是擁有肉體與骨骼的未完成品。白銀的外裝成為肉體，積累的努力化為骨骼。當嶄新及古老以武相繫時，在我體內觀測到了世界。──我存在於天地，無咎於世間。</t>
  </si>
  <si>
    <t>变异者</t>
  </si>
  <si>
    <t>就是和多数普通人不一样了，但为什么不一样、怎么不一样，谁知道呢？</t>
  </si>
  <si>
    <t>守门者</t>
  </si>
  <si>
    <t>冰雪中獨自一人的守門者。hold door!! hold door!! ...</t>
  </si>
  <si>
    <t>二皮匠</t>
  </si>
  <si>
    <t>“宁为路边狗，不做二皮匠！”為亡者縫補身体，不招人待见的偉人。</t>
  </si>
  <si>
    <t>虫师</t>
  </si>
  <si>
    <t>將世间的毒蟲練成蠱，利用符咒等邪术为人安排吉凶祸福之人。“蛇、蛊、蜈蚣,接下來是什麼呢？”</t>
  </si>
  <si>
    <t>美人鱼</t>
  </si>
  <si>
    <t>失聲的魚人,每天在岸边看守着王子及其夫人流泪。“嗚……王子。”</t>
  </si>
  <si>
    <t>机凯种</t>
  </si>
  <si>
    <t>解析，复制，探索。另一种形式的生命。</t>
  </si>
  <si>
    <t>阿渺</t>
  </si>
  <si>
    <t>很像是一只和外神相熟的猫又。</t>
  </si>
  <si>
    <t>刀锋战士</t>
  </si>
  <si>
    <t>由於在其母親懷孕時被吸血鬼的血液污染子宮，所以身上具備一半吸血鬼的血統而成為半吸血鬼，但自我認同為人類。為了保護人類而對付各種吸血鬼和喪屍等妖怪。</t>
  </si>
  <si>
    <t>调换儿</t>
  </si>
  <si>
    <t>將小孩或甚至是成人偷偷拐走，並將他們帶回自己的世界亞爾夫海姆，將人類嬰孩當做僕人。“人類!都是我們的！！！”</t>
  </si>
  <si>
    <t>驯猫员</t>
  </si>
  <si>
    <t>相传是历史上第一位将野猫驯化为家猫的人，被当代无数猫奴奉为神明。“溪柴火软蛮毡暖，我与狸奴不出门。”</t>
  </si>
  <si>
    <t>蓝帽子</t>
  </si>
  <si>
    <t>引導礦工到沉積著豐富礦物的地方。“鑽石!黄金!還不開始動起你的屁股開始掘？？”</t>
  </si>
  <si>
    <t>睡魔(The Sandman)</t>
  </si>
  <si>
    <t>為七位無盡司職之一。“zzzz……上班？你看不到我很忙的嗎？zzz……”</t>
  </si>
  <si>
    <t>收集者</t>
  </si>
  <si>
    <t>穿梭于宇宙之间收集各种珍奇物品的一群人。“明明宝镜中，物物天照齐。”</t>
  </si>
  <si>
    <t>雪女</t>
  </si>
  <si>
    <t>會穿著白色和服，會在下雪的夜晚以美麗的高挑女子的形象來現身。並下山誘惑男人，如果遇到她喜歡的，她會把他變成冰棒帶回山里。雪女最怕火與熱，一旦碰到會變成細長的冰柱碎片。“我，喜欢雪跟男人。”</t>
  </si>
  <si>
    <t>JOJO</t>
  </si>
  <si>
    <t>吾心吾行澄如明鏡，所作所為皆為正義。</t>
  </si>
  <si>
    <t>清理者</t>
  </si>
  <si>
    <t>清理那些已经被记录者记录下来的失落的文明的文化，抹平曾经存在文明的星球，并由播种者播种新的文明。“应门但洒扫，畏有山僧来。”</t>
  </si>
  <si>
    <t>记录者</t>
  </si>
  <si>
    <t>从创造之柱中的恒星诞生，到室女座星系的超新星爆发，记录者负责宇宙内发生的所有事情，当然也包括所有种族的科技、历史和文化。“笔落惊风雨，诗成泣鬼神。”</t>
  </si>
  <si>
    <t>21世纪的neet少年</t>
  </si>
  <si>
    <t>和平时代的產物。在10平方的房间中不眠不休地打機。“鹹魚翻身，還是鹹魚。别阻碍我打機。”</t>
  </si>
  <si>
    <t>播种者</t>
  </si>
  <si>
    <t>传说中自宇宙大爆炸之时便诞生的种族，在漫长的时间中逐渐掌握了创造并播种新的文明的科技。“寥廓高天一冥鸿，肯随乌鸟问雌雄。”</t>
  </si>
  <si>
    <t>柯南</t>
  </si>
  <si>
    <t>身穿蓝色西裝的死神小學生，擁有多種技能，所去之地皆有亡者。“真相只有一個！”</t>
  </si>
  <si>
    <t>审判者</t>
  </si>
  <si>
    <t>掌管星球的诞生和灭亡，宣判文明的起源和终止。“操余弧兮反沦降，援北斗兮酌桂浆。”</t>
  </si>
  <si>
    <t>观察者</t>
  </si>
  <si>
    <t>与播种者一样是源自宇宙大爆炸的上古种族，他们以旁观者的身份见证的宇宙中的一切。“欲要看究竟,处处细留心。”</t>
  </si>
  <si>
    <t>贞子</t>
  </si>
  <si>
    <t>身穿白衣，黑色長髮。具有天生的世間罕有的美麗，但是卻是個得了罕見遺傳病「睪丸性女性症候群」的陰陽人。“一起……一起来陪我玩呀~”</t>
  </si>
  <si>
    <t>广播员</t>
  </si>
  <si>
    <t>新生的先进种族，利用自己的特殊科技向全宇宙广播来自宇宙各处的消息。“都护行营太白西，角声一动胡天晓。”</t>
  </si>
  <si>
    <t>小女孩</t>
  </si>
  <si>
    <t>心生不滿的小女孩。“火！火！火！燒掉！都毁掉吧~多漂亮的火啊。”</t>
  </si>
  <si>
    <t>永恒</t>
  </si>
  <si>
    <t>永恒即是永恒本身。“来历久远深耕转，渊源流长难消亡。”</t>
  </si>
  <si>
    <t>柜中人</t>
  </si>
  <si>
    <t>待在柜子里的理由有很多。</t>
  </si>
  <si>
    <t>朱斯提提亞(Justitia)</t>
  </si>
  <si>
    <t>一手持天平、一手持寶劍，而且都是緊閉雙眼或者是在眼睛上蒙着布條。“如果審視你的天命是我的職責，審判就是我的正義。兩者不可兼得。”</t>
  </si>
  <si>
    <t>征服者</t>
  </si>
  <si>
    <t>四处征战但是极富骑士精神的一群人。“宜将剩勇追穷寇，不可沽名学霸王。”</t>
  </si>
  <si>
    <t>西施</t>
  </si>
  <si>
    <t>“沉魚”，水中的魚兒看到她的美貌，都驚艷得沉入江底。閉門不出，身子弱的美女。“水光瀲艷晴方好，山色空濛雨亦奇。”</t>
  </si>
  <si>
    <t>流浪者</t>
  </si>
  <si>
    <t>母星早已被毁灭，从而不得不在宇宙空间中流浪的一群人。“晨起动征铎，客行悲故乡。”</t>
  </si>
  <si>
    <t>巡视者</t>
  </si>
  <si>
    <t>制止那些无端的侵略，维持宇宙的安定。“清心为治本，直道是身谋。”</t>
  </si>
  <si>
    <t>魅魔(Incubus)</t>
  </si>
  <si>
    <t>在女子睡覺的時候降臨並與之交媾的男妖，一般形象為美男子，會吸取女人的精氣。通常情况下十天就可以吸光一个女人的精气。。與夢魘發生過性關係的女人還有可能會懷上夢魘的孩子，據說夢魘有時候也能懷上孩子。“嗯？想试试我的滋味嗎？”</t>
  </si>
  <si>
    <t>Bloody Mary</t>
  </si>
  <si>
    <t>她手持着一根蠟燭和一面小鏡子，同時倒著走上一列樓梯並進入一間漆黑的屋子。“那么呼叫我吧，如果你希望得到未来的話。”</t>
  </si>
  <si>
    <t>土豪</t>
  </si>
  <si>
    <t>據说“上可九天揽月，下可五洋捉鳖”，那么，到底……是真的嗎？“錢！錢！錢！我有大把的钱~”</t>
  </si>
  <si>
    <t>蔷薇</t>
  </si>
  <si>
    <t>花開花落，王子所愛之物。小薔薇一天天地長大，每天她都以最美麗的樣子出現在他的面前。死於春天、死於夏天、死於秋天、死於冬天，一年必須死四次。“你……也喜欢我嗎？”</t>
  </si>
  <si>
    <t>唐吉坷德</t>
  </si>
  <si>
    <t>一个时代的终结。</t>
  </si>
  <si>
    <t>杭伯特·杭伯特</t>
  </si>
  <si>
    <t>令人呕心的中年男。“这便是我想到的，我能够和你共享的永恒，我的洛丽塔。”</t>
  </si>
  <si>
    <t>恶霸头目</t>
  </si>
  <si>
    <t>荒凉的小镇里，有一个令人闻风丧胆的帮派。而这个帮派的头目，似乎并非人类……</t>
  </si>
  <si>
    <t>不死之身</t>
  </si>
  <si>
    <t>无论受多重的伤也能恢复的他，正体验着无限折磨。</t>
  </si>
  <si>
    <t>土地公</t>
  </si>
  <si>
    <t>每片土地都有一个土地公，他了解这片土地上发生的一切。</t>
  </si>
  <si>
    <t>Homura</t>
  </si>
  <si>
    <t>黑髮少女，在無盡的時間中輪回。“總是為了面對眼前發生的悲痛，而渴求足以解決的咒語。為了贏得彼此相遇的奇蹟，我將向前邁進。”</t>
  </si>
  <si>
    <t>二骑</t>
  </si>
  <si>
    <t>我来，我见，我吃瘪。</t>
  </si>
  <si>
    <t>Ultra N</t>
  </si>
  <si>
    <t>如果那是个o就好了……</t>
  </si>
  <si>
    <t>米奇</t>
  </si>
  <si>
    <t>他拥有一间快乐的屋子。（我们的设计师声明这张卡牌的设计灵感绝对不是来源于迪○尼同名生物）</t>
  </si>
  <si>
    <t>福尔缪斯</t>
  </si>
  <si>
    <t>“福尔摩斯曾说，真相往往在你多看一眼间流露……但相信我，你不会想在操纵大型机械时分神的。”这位快乐的起重机驾驶员如是说道。</t>
  </si>
  <si>
    <t>自我毁灭者</t>
  </si>
  <si>
    <t>“这一切有意义吗？”举起枪塞进嘴里。</t>
  </si>
  <si>
    <t>Isaac</t>
  </si>
  <si>
    <t>因為蘋果而聞名於世的偉人。“別跟我說什么物理，數学！地球我不管！從棺材爬出来可是很累的！”</t>
  </si>
  <si>
    <t>盲目崇拜者</t>
  </si>
  <si>
    <t>嘿！我想要一张你的签名，签在我的舌头上好吗？</t>
  </si>
  <si>
    <t>杰骆特</t>
  </si>
  <si>
    <t>我是个多元宇宙论的支持者，所以我相信一定会有一位杰洛特是一个开心的农夫……就像这张卡一样。</t>
  </si>
  <si>
    <t>为了主的荣光！</t>
  </si>
  <si>
    <t>筋肉人</t>
  </si>
  <si>
    <t>该男子，就是肌肉——</t>
  </si>
  <si>
    <t>李德胜</t>
  </si>
  <si>
    <t>猜猜他能和哪张彩色卡联动呢？</t>
  </si>
  <si>
    <t>自动洗头机</t>
  </si>
  <si>
    <t>无用发明家的自信之作。</t>
  </si>
  <si>
    <t>名剑·三桂</t>
  </si>
  <si>
    <t>匪患是我们的衣食父母，是我们的稻米钱粮！（使用名剑·三桂杀敌时，若对方为土匪，罪犯，则可获得额外奖励）</t>
  </si>
  <si>
    <t>摩托罗拉</t>
  </si>
  <si>
    <t>尽管它没有敌厂品牌那么坚硬，但依旧胜过板砖。</t>
  </si>
  <si>
    <t>三轮车</t>
  </si>
  <si>
    <t>这辆车的后面总有神秘的宝贝。</t>
  </si>
  <si>
    <t>岁月神书</t>
  </si>
  <si>
    <t>是一本中二少年的日记。</t>
  </si>
  <si>
    <t>王座</t>
  </si>
  <si>
    <t>但是并没有人坐在上面。</t>
  </si>
  <si>
    <t>灯光发生器</t>
  </si>
  <si>
    <t>“就像你所看到的，将一个高能粪便电池塞入装置底部，它就能稳定的发出四百流明的光。”“但是博士，我想知道它和电灯泡到底有什么区别？”</t>
  </si>
  <si>
    <t>水壶</t>
  </si>
  <si>
    <t>嘿！把手哪去了？</t>
  </si>
  <si>
    <t>南瓜</t>
  </si>
  <si>
    <t>中空的南瓜，內裏散發着微光。“trick or treat！”</t>
  </si>
  <si>
    <t>听上去是播种者播种文明的东西，但其实只是普通种子。</t>
  </si>
  <si>
    <t>碳酸动力系统</t>
  </si>
  <si>
    <t>以碳酸为动力，驱动装甲，城市，乃至大陆的系统……的最初版。</t>
  </si>
  <si>
    <t>治病偏方</t>
  </si>
  <si>
    <t>“浓缩铀配合大量中子可以让你百毒不侵。”“兄啊你这偏方用起来咋头晕呢？”</t>
  </si>
  <si>
    <t>魅魔杯子</t>
  </si>
  <si>
    <t>用这个杯子不会消耗精力，反而使身体机能更健康。</t>
  </si>
  <si>
    <t>手持式多功能便携信号收发装置</t>
  </si>
  <si>
    <t>《30世纪新编百科全书》给出的解释是：“21世纪初期人们用的‘手机’在今天的全称。”</t>
  </si>
  <si>
    <t>手炮</t>
  </si>
  <si>
    <t>将一门火炮用魔法缩小到可以持握的程度。无论是威力、重量还是后坐力都毫无改变，唯一改变的只有大小。威力很不错，排除使用前提的话。</t>
  </si>
  <si>
    <t>N95口罩</t>
  </si>
  <si>
    <t>极难获得的蓝色装备，穿戴后抵抗力+100%</t>
  </si>
  <si>
    <t>球衣</t>
  </si>
  <si>
    <t>印有24号，双色的球衣。好像是一代傳奇的所有物。</t>
  </si>
  <si>
    <t>钻石</t>
  </si>
  <si>
    <t>被壟斷的產物。據说是美好、纯粹、神圣、永恒的代名词。</t>
  </si>
  <si>
    <t>臭臭泥</t>
  </si>
  <si>
    <t>这是一把剑。</t>
  </si>
  <si>
    <t>碎裂的头颅</t>
  </si>
  <si>
    <t>来自一个不走运的公爵。</t>
  </si>
  <si>
    <t>知更鸟</t>
  </si>
  <si>
    <t>听听，它在嘲笑你呢。</t>
  </si>
  <si>
    <t>金币</t>
  </si>
  <si>
    <t>它可以用来买凶杀人，也可以成就伟业。</t>
  </si>
  <si>
    <t>冈格尼尔之枪</t>
  </si>
  <si>
    <t>某智商爆表的白毛怪生前的所有物。弹槽已全空。</t>
  </si>
  <si>
    <t>太阳纹铠甲</t>
  </si>
  <si>
    <t>胸前带有太阳圣徽的铠甲。“仔细一看，这圣徽不是画上去的吗？”</t>
  </si>
  <si>
    <t>无底的水桶</t>
  </si>
  <si>
    <t>总是盈满水的水桶，不管倾倒多久仍会倒出水来。“赶快把桶扶正啊！三楼都被淹没了啊！”</t>
  </si>
  <si>
    <t>明信片</t>
  </si>
  <si>
    <t>即便只是看着上面的字迹，也涌出满满的爱意。</t>
  </si>
  <si>
    <t>打火机</t>
  </si>
  <si>
    <t>一旦打開了就永远不會熄灭，只有破坏其打火機本身才可以把火弄沒。似乎是某惡魔手筆下的核能打火機。</t>
  </si>
  <si>
    <t>伏特加</t>
  </si>
  <si>
    <t>生产于1991年12月25日。</t>
  </si>
  <si>
    <t>权杖</t>
  </si>
  <si>
    <t>将白色生物变成蓝色生物。</t>
  </si>
  <si>
    <t>秘制小汉堡</t>
  </si>
  <si>
    <t>既实惠，还管饱。</t>
  </si>
  <si>
    <t>电锯</t>
  </si>
  <si>
    <t>请不要在使用时追逐打闹。</t>
  </si>
  <si>
    <t>铁处女</t>
  </si>
  <si>
    <t>铁刺的颜色到底是什么？要不要进去看看？</t>
  </si>
  <si>
    <t>七鳃鳗</t>
  </si>
  <si>
    <t>普通。非常普通。但是好吃的难以抑制！</t>
  </si>
  <si>
    <t>就是你在学校里学的那种。</t>
  </si>
  <si>
    <t>哲学</t>
  </si>
  <si>
    <t>思维是人类的本质。</t>
  </si>
  <si>
    <t>腐坏</t>
  </si>
  <si>
    <t>至此，永恒已成过去。</t>
  </si>
  <si>
    <t>平衡</t>
  </si>
  <si>
    <t>中庸为本。</t>
  </si>
  <si>
    <t>循环</t>
  </si>
  <si>
    <t>状态的变化并不代表本质的改变。</t>
  </si>
  <si>
    <t>人格</t>
  </si>
  <si>
    <t>高尚的人，低贱的人。</t>
  </si>
  <si>
    <t>离开</t>
  </si>
  <si>
    <t>可能没你想的那么容易。</t>
  </si>
  <si>
    <t>天灾</t>
  </si>
  <si>
    <t>诡秘多变的自然灾害。</t>
  </si>
  <si>
    <t>有用处的东西。</t>
  </si>
  <si>
    <t>瓦解</t>
  </si>
  <si>
    <t>这个实体可能没你想的那么坚固。</t>
  </si>
  <si>
    <t>宣传</t>
  </si>
  <si>
    <t>白可以是黑……只要你喊的够大声</t>
  </si>
  <si>
    <t>切割</t>
  </si>
  <si>
    <t>断开吧！</t>
  </si>
  <si>
    <t>私塾</t>
  </si>
  <si>
    <t>传道受业解惑，教育是高塔的基础</t>
  </si>
  <si>
    <t>猫咖</t>
  </si>
  <si>
    <t>爱猫者的集散地。</t>
  </si>
  <si>
    <t>末世废墟</t>
  </si>
  <si>
    <t>当毁灭降临，文明能保留下来的，或许只是一块石头。</t>
  </si>
  <si>
    <t>火山培土</t>
  </si>
  <si>
    <t>尘埃在剧烈的爆发后被大地承载，生的希望遍埋于黑色的残骸内。</t>
  </si>
  <si>
    <t>腐败巢穴</t>
  </si>
  <si>
    <t>嘿！别误会那个名字！这就是由于某些特殊原因才让这些可怜的分解者们聚集在这个巢穴里的。</t>
  </si>
  <si>
    <t>地下工厂</t>
  </si>
  <si>
    <t>为了减少占地，工厂被迫搬到地下。</t>
  </si>
  <si>
    <t>肉食者天堂</t>
  </si>
  <si>
    <t>你能想象一整片地区都长着那种奇妙的生物圈么？烤脆的猪皮作为地皮，鸭舌随着风的吹来形成一片片的肉浪，会长出排骨的大树，流动着高汤的河流……</t>
  </si>
  <si>
    <t>失落的祭坛</t>
  </si>
  <si>
    <t>向这里献上贡品的话，似乎就能够获得等价的恩赐。但你没有决定权。</t>
  </si>
  <si>
    <t>冰火两仪……眼？</t>
  </si>
  <si>
    <t>别想了，这就是个一个大池子里一边是岩浆眼一边是冰泉眼，不过旁边的确是有些稀奇药草……</t>
  </si>
  <si>
    <t>A岛</t>
  </si>
  <si>
    <t>存在于人们精神链接处的无名小岛，被冠以“A”之名。你们可以在此分享一切！(大概？)</t>
  </si>
  <si>
    <t>冬木市</t>
  </si>
  <si>
    <t>一个特别容易瓦斯泄露的城市，似乎在隐秘(？)地举行什么神秘仪式。</t>
  </si>
  <si>
    <t>不在里面放点什么吗？</t>
  </si>
  <si>
    <t>杂物店</t>
  </si>
  <si>
    <t>买点什么吧。</t>
  </si>
  <si>
    <t>船坞</t>
  </si>
  <si>
    <t>但是这里还没有船。</t>
  </si>
  <si>
    <t>废弃矿坑</t>
  </si>
  <si>
    <t>废弃的矿坑，前人的馈赠！</t>
  </si>
  <si>
    <t>工厂</t>
  </si>
  <si>
    <t>蒸汽时代的造物。造点什么吧。</t>
  </si>
  <si>
    <t>珍白沙滩</t>
  </si>
  <si>
    <t>或许你该带点黑色的宝石去问候她的儿子？</t>
  </si>
  <si>
    <t>公共墓园</t>
  </si>
  <si>
    <t>无名无姓之人长眠于此。</t>
  </si>
  <si>
    <t>肥肥快乐屋</t>
  </si>
  <si>
    <t>“是肥肥大礼包！好多好多！”</t>
  </si>
  <si>
    <t>沉船</t>
  </si>
  <si>
    <t>宝藏！</t>
  </si>
  <si>
    <t>致远星</t>
  </si>
  <si>
    <t>战况如何？</t>
  </si>
  <si>
    <t>吸血鬼城堡</t>
  </si>
  <si>
    <t>但是伯爵在外面迷路了。</t>
  </si>
  <si>
    <t>许愿喷泉</t>
  </si>
  <si>
    <t>扔个硬币进去吧。</t>
  </si>
  <si>
    <t>小黑屋</t>
  </si>
  <si>
    <t>里面似乎传来了咕咕的惨叫声，如果咕咕更不够就出不来。</t>
  </si>
  <si>
    <t>我妻子的花园</t>
  </si>
  <si>
    <t>花肥是我。</t>
  </si>
  <si>
    <t>被遗忘的战场</t>
  </si>
  <si>
    <t>在片片废墟中有什么正在挣扎。</t>
  </si>
  <si>
    <t>地狱</t>
  </si>
  <si>
    <t>这里承载着所有罪恶的灵魂……吗？</t>
  </si>
  <si>
    <t>天堂</t>
  </si>
  <si>
    <t>并不一定能比地狱高尚。</t>
  </si>
  <si>
    <t>教堂</t>
  </si>
  <si>
    <t>宗教在此发展起来了。</t>
  </si>
  <si>
    <t>酒池肉林</t>
  </si>
  <si>
    <t>neet的天堂，酒池换成百事可乐就更好了。</t>
  </si>
  <si>
    <t>牢笼</t>
  </si>
  <si>
    <t>关押。</t>
  </si>
  <si>
    <t>灵力消散的秘境</t>
  </si>
  <si>
    <t>如果这里面有灵力了它可能会是另一种姿态。</t>
  </si>
  <si>
    <t>圣诞老人的糖果屋</t>
  </si>
  <si>
    <t>来吃糖果吧。</t>
  </si>
  <si>
    <t>床底</t>
  </si>
  <si>
    <t>刺激，太刺激了——一位不愿透露姓名的男子。</t>
  </si>
  <si>
    <t>一个网管的传奇开始？</t>
  </si>
  <si>
    <t>加会班把这个处理一下。</t>
  </si>
  <si>
    <t>铁匠铺</t>
  </si>
  <si>
    <t>这是一个铁匠学徒梦寐以求的。</t>
  </si>
  <si>
    <t>乡间公厕</t>
  </si>
  <si>
    <t>“虽然是不同的时间，但是同一个撤↘硕↗，各位老铁们……奥利给！”</t>
  </si>
  <si>
    <t>养老院</t>
  </si>
  <si>
    <t>“快来按住101房的魔王，他和507房的勇者又打起来了！”“你们302房亡灵法师打麻将的时候不要习惯性用灵魂当筹码！”“那边那个天使，不要老是揪着你旁边的和尚让他改信！”今天又是养老院平凡的一天呢。</t>
  </si>
  <si>
    <t>溶洞枯井</t>
  </si>
  <si>
    <t>深藏与地下溶洞中的一个古老水井，在滴滴答答的钟乳石林里它是唯一干枯的东西……井在地上提供宝贵的清泉，在地下则提供珍惜的干燥？</t>
  </si>
  <si>
    <t>被围起来的一口井</t>
  </si>
  <si>
    <t>喂，出来！</t>
  </si>
  <si>
    <t>每个人的心底都有一个深不见测的井，我的井里藏着颠倒的世界，你呢？</t>
  </si>
  <si>
    <t>高墙巨井</t>
  </si>
  <si>
    <t>曾经，墙里的“人”想出去，墙外的“人”想进来；如今这里只不过是巨人们的一个普通的井罢了。</t>
  </si>
  <si>
    <t>怎么全是井</t>
  </si>
  <si>
    <t>我的老天爷，为什么这一整个区块全是奇奇怪怪的井啊！</t>
  </si>
  <si>
    <t>井岗</t>
  </si>
  <si>
    <t>这里全是井。</t>
  </si>
  <si>
    <t>二刺猿之乡</t>
  </si>
  <si>
    <t>里面全是这种爬行动物。</t>
  </si>
  <si>
    <t>悬崖</t>
  </si>
  <si>
    <t>跳下去也许会有奇遇哦。什么？会死？怎么可能，悬崖边肯定会有树枝挂着你然后就会发现一个山洞里面还有宝藏。运气好说不定还能遇上等待传功的大前辈！什么？……是胖子的话那确实没办法呢。</t>
  </si>
  <si>
    <t>井岗山</t>
  </si>
  <si>
    <t>一座普通的山，但他的一处山岗上全是井。</t>
  </si>
  <si>
    <t>( ﾟ∀。)的ksbaoxjs院</t>
  </si>
  <si>
    <t>歪比歪比，歪比八卜！</t>
  </si>
  <si>
    <t>不是井岗山</t>
  </si>
  <si>
    <t>这里没有井！只有山。</t>
  </si>
  <si>
    <t>养鸽场</t>
  </si>
  <si>
    <t>夏塔克鸟是我们永远的朋友。幻梦境少了它们可不行。</t>
  </si>
  <si>
    <t>巴别塔遗址</t>
  </si>
  <si>
    <t>原来……巴别塔真的存在！</t>
  </si>
  <si>
    <t>鸽子肉加工厂</t>
  </si>
  <si>
    <t>把鸽头一砍，剩下的肉都可以被加工为上好的火腿。</t>
  </si>
  <si>
    <t>普通（？）的可乐工厂</t>
  </si>
  <si>
    <t>这只是一座普通的可乐工厂，虽然它的地下隐隐传出巨型机械工作的声音。“说你呢！那个D级人员！回来工作！”</t>
  </si>
  <si>
    <t>可乐加工……厂？</t>
  </si>
  <si>
    <t>红瓶，蓝瓶，best match！天才登场！</t>
  </si>
  <si>
    <t>疱疹巨釜</t>
  </si>
  <si>
    <t>鼠人们在邪恶与令人作呕方面的一大建筑杰作。瘟疫祭司们奴役着他们的仆从日夜不停的搅动着这献给纳垢的灾厄浓汤。至于筋疲力竭的奴隶们？那是浓汤风味的一部分。</t>
  </si>
  <si>
    <t>仿生人工厂·底特律</t>
  </si>
  <si>
    <t>“我叫……康纳？”</t>
  </si>
  <si>
    <t>可乐试验场</t>
  </si>
  <si>
    <t>为什么可乐公司有试验场？空气中弥漫着可乐燃烧的气味，地面上留有某种机甲的脚印……</t>
  </si>
  <si>
    <t>难波重工</t>
  </si>
  <si>
    <t>“为了大义……”/“为了难波重工！！！！”</t>
  </si>
  <si>
    <t>圣　地</t>
  </si>
  <si>
    <t>女人唱歌，男人( ﾟ∀。)</t>
  </si>
  <si>
    <t>有着黑色轿车的街道</t>
  </si>
  <si>
    <t>希望之花～</t>
  </si>
  <si>
    <t>红岸基地</t>
  </si>
  <si>
    <t>“不要回答！不要回答！不要回答！”</t>
  </si>
  <si>
    <t>圣神坩埚</t>
  </si>
  <si>
    <t>主的勇士都需要一些不错的奖赏。红衣主教正引领主的狂信徒们日夜高颂主的福音以期来获得“神血”。想必，为了主的事业，那些牺牲和被燃烧的肉体一定会幸福的微笑吧？</t>
  </si>
  <si>
    <t>衣柜</t>
  </si>
  <si>
    <t>我的老天爷，幸好我给自己留了出路——一位不愿意透露姓名的男子。</t>
  </si>
  <si>
    <t>蝉声，汽水味，男孩们无忧无虑的夏天。</t>
  </si>
  <si>
    <t>大学</t>
  </si>
  <si>
    <t>知晓通达明了，思考是教育的杰作。</t>
  </si>
  <si>
    <t>方舱医院</t>
  </si>
  <si>
    <t>这是对疫病最好的应对方法之一。</t>
  </si>
  <si>
    <t>素食者天堂</t>
  </si>
  <si>
    <t>你能想象一整片地区都长着那种奇妙的生物圈么？……我反正不能，我食肉。</t>
  </si>
  <si>
    <t>密室</t>
  </si>
  <si>
    <t>窃窃私语，鬼鬼祟祟。</t>
  </si>
  <si>
    <t>漆黑港湾</t>
  </si>
  <si>
    <t>嘿，这就是你的礼物么！</t>
  </si>
  <si>
    <t>公寓</t>
  </si>
  <si>
    <t>作业，书墨味，奇迹诞生的夏日夜晚。</t>
  </si>
  <si>
    <t>一个巨大的生物的胃里</t>
  </si>
  <si>
    <t>起码这里足够温暖。至于你问什么时候会被消化掉，我不道啊。</t>
  </si>
  <si>
    <t>炉石酒馆</t>
  </si>
  <si>
    <t>“我感觉这把你能赢。”“我给你物色了一个新人选。”“你有一个三连。”“看你打牌是一种享受！”</t>
  </si>
  <si>
    <t>聊天室</t>
  </si>
  <si>
    <t>开诚布公，大大方方。</t>
  </si>
  <si>
    <t>一个娇小的生物的怀里</t>
  </si>
  <si>
    <t>我想不会有人会想要脱离这里。</t>
  </si>
  <si>
    <t>基金会</t>
  </si>
  <si>
    <t>使一切脱离常识的事物显出原形——“控制，收容，保护”</t>
  </si>
  <si>
    <t>虎牢关</t>
  </si>
  <si>
    <t>难以攻破。</t>
  </si>
  <si>
    <t>意面教堂</t>
  </si>
  <si>
    <t>不说了，我要享用我的神了。</t>
  </si>
  <si>
    <t>远月</t>
  </si>
  <si>
    <t>厨师可不是玩闹！跟不上的家伙统统给我淘汰！</t>
  </si>
  <si>
    <t>拷问间</t>
  </si>
  <si>
    <t>……洗不掉的血腥气味。萦绕其间的冤魂哀鸣。</t>
  </si>
  <si>
    <t>鬼门关</t>
  </si>
  <si>
    <t>人鬼殊途自此始。</t>
  </si>
  <si>
    <t>戈登·拉姆齐的厨房</t>
  </si>
  <si>
    <t>这里是所有老饕的天堂，所有厨师的地狱。</t>
  </si>
  <si>
    <t>核电站</t>
  </si>
  <si>
    <t>记得时刻维护，注意污染问题。</t>
  </si>
  <si>
    <t>格林尼治天文台</t>
  </si>
  <si>
    <t>东西区的分界线，观测宇宙的场所。</t>
  </si>
  <si>
    <t>梁山</t>
  </si>
  <si>
    <t>承载着一百零五个男人和三个女人的故事。</t>
  </si>
  <si>
    <t>一个专门用于跑团的房间</t>
  </si>
  <si>
    <t>在这里请扮演好你的角色，遵循骰子的点数行动。记住，在这里，kp是你的伙伴而不是敌人。</t>
  </si>
  <si>
    <t>龙穴</t>
  </si>
  <si>
    <t>哈，瞧瞧我发现了什么……</t>
  </si>
  <si>
    <t>里世界</t>
  </si>
  <si>
    <t>你所看到的不一定是真实，而这里显示的，必然发生。</t>
  </si>
  <si>
    <t>不冻港</t>
  </si>
  <si>
    <t>庆幸吧，在严寒的冬天还有一个港口。</t>
  </si>
  <si>
    <t>画中世界</t>
  </si>
  <si>
    <t>希望这东西的主人画技还不错。</t>
  </si>
  <si>
    <t>无可饶恕。</t>
  </si>
  <si>
    <t>忏悔</t>
  </si>
  <si>
    <t>神救世人。</t>
  </si>
  <si>
    <t>失控</t>
  </si>
  <si>
    <t>无可挽回。</t>
  </si>
  <si>
    <t>终将再见。</t>
  </si>
  <si>
    <t>放弃</t>
  </si>
  <si>
    <t>尽力了吗。</t>
  </si>
  <si>
    <t>挣扎</t>
  </si>
  <si>
    <t>相信希望。</t>
  </si>
  <si>
    <t>只差一点点的成功</t>
  </si>
  <si>
    <t>说到底，你失败了……</t>
  </si>
  <si>
    <t>创新</t>
  </si>
  <si>
    <t>仅仅是一方面的创新，比不上更高级的“改革”和“革命”。</t>
  </si>
  <si>
    <t>网络暴力</t>
  </si>
  <si>
    <t>别想摆脱他人的一面之词。</t>
  </si>
  <si>
    <t>机械降神</t>
  </si>
  <si>
    <t>文明的顶点，科学的尽头，人创造神明，神明却不懂人。</t>
  </si>
  <si>
    <t>新思潮</t>
  </si>
  <si>
    <t>世界上最强大的力量在于思想。</t>
  </si>
  <si>
    <t>可乐其他功能的发现</t>
  </si>
  <si>
    <t>这种液体除了当饮料还有其他用途？</t>
  </si>
  <si>
    <t>苏生</t>
  </si>
  <si>
    <t>他又睁开了眼。</t>
  </si>
  <si>
    <t>毫不稀奇。</t>
  </si>
  <si>
    <t>放逐</t>
  </si>
  <si>
    <t>离开这里！</t>
  </si>
  <si>
    <t>内卷</t>
  </si>
  <si>
    <t>毫不稀奇</t>
  </si>
  <si>
    <t>开战前夕</t>
  </si>
  <si>
    <t>战争的爆发，每个人其实都可以避免这一切。</t>
  </si>
  <si>
    <t>疾病将至。</t>
  </si>
  <si>
    <t>狂热</t>
  </si>
  <si>
    <t>缺少理性。</t>
  </si>
  <si>
    <t>饿……好饿……你看上去好好吃啊……</t>
  </si>
  <si>
    <t>十三愿景</t>
  </si>
  <si>
    <t>“这是大角鼠的愿望，是的，是的……”“掠夺次元石！Yes！Yes！”“没毛玩意儿，kill！kill！”</t>
  </si>
  <si>
    <t>宇宙无穷。</t>
  </si>
  <si>
    <t>无能</t>
  </si>
  <si>
    <t>想想看，只要你是个废物，就没有人能利用你……</t>
  </si>
  <si>
    <t>复古</t>
  </si>
  <si>
    <t>古今之辩。</t>
  </si>
  <si>
    <t>排异</t>
  </si>
  <si>
    <t>唯我独尊。</t>
  </si>
  <si>
    <t>高空失足</t>
  </si>
  <si>
    <t>风声与重力。</t>
  </si>
  <si>
    <t>贫穷</t>
  </si>
  <si>
    <t>经济崩溃。</t>
  </si>
  <si>
    <t>祥瑞之兆</t>
  </si>
  <si>
    <t>为一方赐福。</t>
  </si>
  <si>
    <t>顿悟</t>
  </si>
  <si>
    <t>灵性升华。</t>
  </si>
  <si>
    <t>躁动</t>
  </si>
  <si>
    <t>你在渴求什么……或者什么在渴求你……</t>
  </si>
  <si>
    <t>心想事成</t>
  </si>
  <si>
    <t>让我看看是那个幸运儿。</t>
  </si>
  <si>
    <t>柴薪</t>
  </si>
  <si>
    <t>随着火的意义不断变化，它的意义也在不断变化。</t>
  </si>
  <si>
    <t>停滞不前。</t>
  </si>
  <si>
    <t>买卖来往。</t>
  </si>
  <si>
    <t>守护</t>
  </si>
  <si>
    <t>现在为了自己的重要之物。</t>
  </si>
  <si>
    <t>神眷</t>
  </si>
  <si>
    <t>圣人出世。</t>
  </si>
  <si>
    <t>病来如山倒，病去如抽丝。</t>
  </si>
  <si>
    <t>窥伺</t>
  </si>
  <si>
    <t>你的余光之中或许生存着什么。</t>
  </si>
  <si>
    <t>沉睡</t>
  </si>
  <si>
    <t>睡着的不只有我们。</t>
  </si>
  <si>
    <t>封印</t>
  </si>
  <si>
    <t>要不要赌一把，这里面是宝藏还是恶魔？</t>
  </si>
  <si>
    <t>寻思</t>
  </si>
  <si>
    <t>思考问题，寻求答案。</t>
  </si>
  <si>
    <t>天体宴会</t>
  </si>
  <si>
    <t>一场促进人口数量增长的派对。</t>
  </si>
  <si>
    <t>革命</t>
  </si>
  <si>
    <t>自下而上。</t>
  </si>
  <si>
    <t>变革</t>
  </si>
  <si>
    <t>自上而下。</t>
  </si>
  <si>
    <t>道德滑坡。</t>
  </si>
  <si>
    <t>刺杀</t>
  </si>
  <si>
    <t>血溅五步。</t>
  </si>
  <si>
    <t>亚空间复苏</t>
  </si>
  <si>
    <t>精神与精神的交汇，情绪与情绪共鸣。在利益的驱使下，人们终于打开了潘多拉的盒子。</t>
  </si>
  <si>
    <t>身份转换</t>
  </si>
  <si>
    <t>谁说怪人只能当反派？</t>
  </si>
  <si>
    <t>时间陷阱</t>
  </si>
  <si>
    <t>事件已发生？事件未发生！</t>
  </si>
  <si>
    <t>穿越</t>
  </si>
  <si>
    <t>这是哪？我是谁？</t>
  </si>
  <si>
    <t>异变</t>
  </si>
  <si>
    <t>似乎有什么在悄然改变……</t>
  </si>
  <si>
    <t>抱歉，他给的实在是太多了……</t>
  </si>
  <si>
    <t>打开</t>
  </si>
  <si>
    <t>打开了什么？福端还是祸源？</t>
  </si>
  <si>
    <t>碰撞</t>
  </si>
  <si>
    <t>使两个物质或概念意义上的东西通过一定的交互而进行一个彻底的改变。</t>
  </si>
  <si>
    <t>一个默默无闻者的死去</t>
  </si>
  <si>
    <t>这无足轻重！……真的吗？</t>
  </si>
  <si>
    <t>赌局</t>
  </si>
  <si>
    <t>我们一般称这种人为赌怪。</t>
  </si>
  <si>
    <t>阎王叫你三更死，谁敢留你到五更？</t>
  </si>
  <si>
    <t>聚变</t>
  </si>
  <si>
    <t>圣光啊，它从世界的基本组成中迸发而出。</t>
  </si>
  <si>
    <t>远征</t>
  </si>
  <si>
    <t>孤注一掷的尝试。</t>
  </si>
  <si>
    <t>竞技大会</t>
  </si>
  <si>
    <t>锻炼！学习！精益求精！ 突破自己的极限吧！</t>
  </si>
  <si>
    <t>布局</t>
  </si>
  <si>
    <t>谁是最后的赢家？</t>
  </si>
  <si>
    <t>盛世</t>
  </si>
  <si>
    <t>大争之世，强则愈强，弱则愈弱。</t>
  </si>
  <si>
    <t>盛大烟火</t>
  </si>
  <si>
    <t>如果有人陪伴就好了。</t>
  </si>
  <si>
    <t>欢乐时光</t>
  </si>
  <si>
    <t>就要开始了！</t>
  </si>
  <si>
    <t>再一次</t>
  </si>
  <si>
    <t>这是第几次了？</t>
  </si>
  <si>
    <t>生长</t>
  </si>
  <si>
    <t>丛林在躁动。</t>
  </si>
  <si>
    <t>日蚀</t>
  </si>
  <si>
    <t>三星连珠。</t>
  </si>
  <si>
    <t>雨声</t>
  </si>
  <si>
    <t>血与枪被掩盖了。</t>
  </si>
  <si>
    <t>鼠疫</t>
  </si>
  <si>
    <t>瘟疫不是致死的原因，蠢货才是。</t>
  </si>
  <si>
    <t>告白</t>
  </si>
  <si>
    <t>我爱你。</t>
  </si>
  <si>
    <t>漫游</t>
  </si>
  <si>
    <t>没有目标，没有终点……</t>
  </si>
  <si>
    <t>言论自由</t>
  </si>
  <si>
    <t>闭嘴！我们在讨论言论自由。</t>
  </si>
  <si>
    <t>审判</t>
  </si>
  <si>
    <t>你不得不要为你所做的付出代价。</t>
  </si>
  <si>
    <t>世界树</t>
  </si>
  <si>
    <t>蒸汽动力</t>
  </si>
  <si>
    <t>末日机甲</t>
  </si>
  <si>
    <t>瓦特</t>
  </si>
  <si>
    <t>焦耳</t>
  </si>
  <si>
    <t>法拉第</t>
  </si>
  <si>
    <t>高达</t>
  </si>
  <si>
    <t>奥尔加团长</t>
  </si>
  <si>
    <t>富兰克林</t>
  </si>
  <si>
    <t>阿伏伽德罗</t>
  </si>
  <si>
    <t>特斯拉</t>
  </si>
  <si>
    <t>乔布斯</t>
  </si>
  <si>
    <t>天网</t>
  </si>
  <si>
    <t>反乌托邦</t>
  </si>
  <si>
    <t>娘化的爱迪生</t>
  </si>
  <si>
    <t>日不落帝国</t>
  </si>
  <si>
    <t>爱迪生</t>
  </si>
  <si>
    <t>东欧剧变</t>
  </si>
  <si>
    <t>驱逐舰</t>
  </si>
  <si>
    <t>马克思</t>
  </si>
  <si>
    <t>机械社会</t>
  </si>
  <si>
    <t>马克思主义社会学</t>
  </si>
  <si>
    <t>战列舰</t>
  </si>
  <si>
    <t>洋流阀</t>
  </si>
  <si>
    <t>特色社会主义</t>
  </si>
  <si>
    <t>泄矢之国</t>
  </si>
  <si>
    <t>人民武装</t>
  </si>
  <si>
    <t>周树人</t>
  </si>
  <si>
    <t>鲁迅犯事了，关我周树人什么事</t>
  </si>
  <si>
    <t>可口的碳酸大炮</t>
  </si>
  <si>
    <t>让蓝色洁厕灵异端、透明雪碧蛮子和崂山鞋神教徒通通死在香草味的炮火下吧！</t>
  </si>
  <si>
    <t>多功能自动售货机</t>
  </si>
  <si>
    <t>紧急情况下，它可以提供充电、急救、避震防险等特殊服务。</t>
  </si>
  <si>
    <t>可口可乐研究员</t>
  </si>
  <si>
    <t>我们致力开发丰富多彩的口味以及看起来很划算的包装。</t>
  </si>
  <si>
    <t>巨龙降临</t>
  </si>
  <si>
    <t>传说中的生物，成为了现实。</t>
  </si>
  <si>
    <t>神光照耀</t>
  </si>
  <si>
    <t>神陨落前洒下的最后一点仁慈。</t>
  </si>
  <si>
    <t>电能的发现</t>
  </si>
  <si>
    <t>这或许要归功于一个放风筝的人。</t>
  </si>
  <si>
    <t>电能的滥用</t>
  </si>
  <si>
    <t>副作用是：断电成为了文明的最大焦虑。</t>
  </si>
  <si>
    <t>大停电</t>
  </si>
  <si>
    <t>一夜之间，经济瘫痪，国家崩溃。</t>
  </si>
  <si>
    <t>灵光三闪</t>
  </si>
  <si>
    <t>可乐怪人</t>
  </si>
  <si>
    <t>人类对可乐的滥用终究导致了灾厄的诞生。着装碳酸动力甲的人们被与可乐深度融合，成为了丧失人性的破坏机械！</t>
  </si>
  <si>
    <t>学前教育</t>
  </si>
  <si>
    <t>孩子们，今天的第一堂课，内容是“1+1=3！”覆盖世界的广播如此重复着。</t>
  </si>
  <si>
    <t>魔法工匠协会</t>
  </si>
  <si>
    <t>魔力亲和</t>
  </si>
  <si>
    <t>变化之灵</t>
  </si>
  <si>
    <t>超自然</t>
  </si>
  <si>
    <t>火球术</t>
  </si>
  <si>
    <t>魔法</t>
  </si>
  <si>
    <t>契约精神</t>
  </si>
  <si>
    <t>灵魂</t>
  </si>
  <si>
    <t>灵异</t>
  </si>
  <si>
    <t>魔力操纵</t>
  </si>
  <si>
    <t>魔力感知</t>
  </si>
  <si>
    <t>生殖不隔离</t>
  </si>
  <si>
    <t>胜利神殿</t>
  </si>
  <si>
    <t>心灵相通</t>
  </si>
  <si>
    <t>祝福</t>
  </si>
  <si>
    <t>诅咒</t>
  </si>
  <si>
    <t>魅魔</t>
  </si>
  <si>
    <t>魔素</t>
  </si>
  <si>
    <t>衰老​</t>
  </si>
  <si>
    <t>兴旺</t>
  </si>
  <si>
    <t>妖刀</t>
  </si>
  <si>
    <t>魔药</t>
  </si>
  <si>
    <t>植物</t>
  </si>
  <si>
    <t>工业自然化思想</t>
  </si>
  <si>
    <t>观星</t>
  </si>
  <si>
    <t>天气</t>
  </si>
  <si>
    <t>伪神</t>
  </si>
  <si>
    <t>占卜</t>
  </si>
  <si>
    <t>占星</t>
  </si>
  <si>
    <t>蒸汽机</t>
  </si>
  <si>
    <t>蒸汽钻探机</t>
  </si>
  <si>
    <t>地理奇观</t>
  </si>
  <si>
    <t>合成化肥</t>
  </si>
  <si>
    <t>化形</t>
  </si>
  <si>
    <t>集体至上</t>
  </si>
  <si>
    <t>神秘</t>
  </si>
  <si>
    <t>天文</t>
  </si>
  <si>
    <t>发电</t>
  </si>
  <si>
    <t>板块运动</t>
  </si>
  <si>
    <t>大江</t>
  </si>
  <si>
    <t>泛灵</t>
  </si>
  <si>
    <t>等价交换</t>
  </si>
  <si>
    <t>分封制</t>
  </si>
  <si>
    <t>复活</t>
  </si>
  <si>
    <t>钢铁之躯</t>
  </si>
  <si>
    <t>合作</t>
  </si>
  <si>
    <t>羁绊</t>
  </si>
  <si>
    <t>灵感</t>
  </si>
  <si>
    <t>寿命</t>
  </si>
  <si>
    <t>原子</t>
  </si>
  <si>
    <t>采集</t>
  </si>
  <si>
    <t>发展</t>
  </si>
  <si>
    <t>构造运动</t>
  </si>
  <si>
    <t>集体利益</t>
  </si>
  <si>
    <t>日光塔</t>
  </si>
  <si>
    <t>百家争鸣</t>
  </si>
  <si>
    <t>集权</t>
  </si>
  <si>
    <t>礼乐</t>
  </si>
  <si>
    <t>启蒙</t>
  </si>
  <si>
    <t>季节变化</t>
  </si>
  <si>
    <t>精灵王</t>
  </si>
  <si>
    <t>先天记忆</t>
  </si>
  <si>
    <t>先天记忆传承</t>
  </si>
  <si>
    <t>高龄山脉</t>
  </si>
  <si>
    <t>共生</t>
  </si>
  <si>
    <t>黄赤交角</t>
  </si>
  <si>
    <t>金属矿脉</t>
  </si>
  <si>
    <t>雷暴</t>
  </si>
  <si>
    <t>平原</t>
  </si>
  <si>
    <t>山地</t>
  </si>
  <si>
    <t>猜疑</t>
  </si>
  <si>
    <t>草原</t>
  </si>
  <si>
    <t>古典法</t>
  </si>
  <si>
    <t>降雨带</t>
  </si>
  <si>
    <t>精灵</t>
  </si>
  <si>
    <t>暖流</t>
  </si>
  <si>
    <t>强烈</t>
  </si>
  <si>
    <t>山</t>
  </si>
  <si>
    <t>血肉锻件</t>
  </si>
  <si>
    <t>骤雨</t>
  </si>
  <si>
    <t>寄生</t>
  </si>
  <si>
    <t>传说的宝库</t>
  </si>
  <si>
    <t>断绝前路</t>
  </si>
  <si>
    <t>火陨石</t>
  </si>
  <si>
    <t>剑冢</t>
  </si>
  <si>
    <t>龙宫</t>
  </si>
  <si>
    <t>异怪</t>
  </si>
  <si>
    <t>奈河</t>
  </si>
  <si>
    <t>辐射</t>
  </si>
  <si>
    <t>高塔</t>
  </si>
  <si>
    <t>教育家</t>
  </si>
  <si>
    <t>魔素机</t>
  </si>
  <si>
    <t>思想家</t>
  </si>
  <si>
    <t>万神殿</t>
  </si>
  <si>
    <t>亡魂笼</t>
  </si>
  <si>
    <t>总结</t>
  </si>
  <si>
    <t>流沙河</t>
  </si>
  <si>
    <t>驱散</t>
  </si>
  <si>
    <t>变形怪</t>
  </si>
  <si>
    <t>随意改变形态的诡异生物，没人知道它们的本来面目</t>
  </si>
  <si>
    <t>腐化</t>
  </si>
  <si>
    <t>寄生触手怪</t>
  </si>
  <si>
    <t>律师</t>
  </si>
  <si>
    <t>生物联盟</t>
  </si>
  <si>
    <t>食欲</t>
  </si>
  <si>
    <t>温差</t>
  </si>
  <si>
    <t>武装</t>
  </si>
  <si>
    <t>隐藏</t>
  </si>
  <si>
    <t>鹰身人</t>
  </si>
  <si>
    <t>情报网络</t>
  </si>
  <si>
    <t>个体超智慧</t>
  </si>
  <si>
    <t>金矿脉</t>
  </si>
  <si>
    <t>令人疯狂</t>
  </si>
  <si>
    <t>猫娘</t>
  </si>
  <si>
    <t>湿生生物</t>
  </si>
  <si>
    <t>兽神</t>
  </si>
  <si>
    <t>电能</t>
  </si>
  <si>
    <t>阶级观念</t>
  </si>
  <si>
    <t>经验</t>
  </si>
  <si>
    <t>连系</t>
  </si>
  <si>
    <t>收集</t>
  </si>
  <si>
    <t>违约惩罚</t>
  </si>
  <si>
    <t>学习</t>
  </si>
  <si>
    <t>优先发展战略</t>
  </si>
  <si>
    <t>职业</t>
  </si>
  <si>
    <t>想象力</t>
  </si>
  <si>
    <t>破败的皇家陵园</t>
  </si>
  <si>
    <t>被毁灭的国家的陵园，是贵族和王族的最终归宿，现在不过只是一个破败的陵园。陪葬品遭到盗窃，遗体遭到亵渎，能在这片陵园中感到恨意。</t>
  </si>
  <si>
    <t>巨兽脊背</t>
  </si>
  <si>
    <t>传说这片大地是在一只巨兽的脊背上，但好像这传说所言非虚……</t>
  </si>
  <si>
    <t>过去的圣地</t>
  </si>
  <si>
    <t>或许每一片草地都曾被奉作圣地。</t>
  </si>
  <si>
    <t>神农架</t>
  </si>
  <si>
    <t>先贤于此，救治万民，保佑楚地免受疫病。传说还有野人。</t>
  </si>
  <si>
    <t>停不下的兵工厂</t>
  </si>
  <si>
    <t>无尽的原料，无限大的仓库，不断制造武器的兵工厂。从科技侧的武器到神秘侧的武器，只要被称为武器的东西 里面都可以制造，每次出厂的武器都是随机的。</t>
  </si>
  <si>
    <t>帝乡</t>
  </si>
  <si>
    <t>确有其事，有传言，那里不属于人间，是历来追逐长生的仙人的故乡，也是奔流复回之地，因此求道者皆逐水而行。天行有常，水枯则惨，帝乡也仅余过去的辉煌。当香再次点起，烟传至四方，失源之人便会聚集起来，然非人在逐水，却水如鹰犬逐人。</t>
  </si>
  <si>
    <t>地图世界</t>
  </si>
  <si>
    <t>一张世界地图，但里面好像真的有一个世界……</t>
  </si>
  <si>
    <t>源之宫</t>
  </si>
  <si>
    <t>享受着腐败和奢靡乐趣的王公贵族，未曾设想过失却源水的未来。当破败和腐朽如走马般叩门，望族们不肯苟且于短暂的快乐，便造就了远离历史的华美之所，然，天行有常……</t>
  </si>
  <si>
    <t>瀛洲</t>
  </si>
  <si>
    <t>东海仙山，老子水多。</t>
  </si>
  <si>
    <t>疯狂地牢</t>
  </si>
  <si>
    <t>满地的陷阱，无数的怪物，无尽宝藏的谣言，但就是没有宝藏。</t>
  </si>
  <si>
    <t>庄周梦蝶</t>
  </si>
  <si>
    <t>这是无尽的梦境，一层叠一层。只有坠落才能醒来，但真的醒来了吗？</t>
  </si>
  <si>
    <t>月神梦境</t>
  </si>
  <si>
    <t>永生的月神设下永恒的幻梦，无知的猎人陷入杀戮之夜，在最后完成试炼，神子诞生。</t>
  </si>
  <si>
    <t>黑暗？宽阔？是永抱深沉的爱意亦或心怀巨浪般的愤懑？它是无法言说的起源之乡。</t>
  </si>
  <si>
    <t>技法之城卡拉德加</t>
  </si>
  <si>
    <t>欢迎来到卡拉德加，匠人朋友们，无论是奇械、音乐，技艺（卡拉德加将魔法称作技艺），美食，盛宴，这里应有尽有，古老帝国的辉煌于此复兴！发明，创造！享受你们灵感的火花！拿出你们的真本事，在万邦博览会表现自己，在数不清的赛事上大展英姿！愿元老院的辉光在以太中赐予你们胜利！噢，朋友，你的钱包被那个洛波屎的混血种顺走了！</t>
  </si>
  <si>
    <t>禁忌之血</t>
  </si>
  <si>
    <t>人从带血的胎盘中降下，血脉中携带着不可视的脐带，血液定义着人，所有的知识都在其中沉积，无论是沸腾的，死寂的，褪色的血，禁忌的启蒙从污秽而无法理解的血液里浮现。思维借助血液而上升，人和兽的界限也因此模糊，喔，粘稠，腥臭，甜美，神圣的血，我赞美你。</t>
  </si>
  <si>
    <t>真理之钥</t>
  </si>
  <si>
    <t>打开真理的门扉，窥见万物最初与终末最后，你还是你吗？</t>
  </si>
  <si>
    <t>黄金钟</t>
  </si>
  <si>
    <t>黄金做的钟有三根金色的指针。在嘀嗒声的流逝中，时间发生了微妙的变化。</t>
  </si>
  <si>
    <t>机械改造者</t>
  </si>
  <si>
    <t>搭载着智能AI的手术台，能够将普通的人类改造成仅靠一副钢铁之躯就足以与神代的神之子相抗衡的人造人。</t>
  </si>
  <si>
    <t>箭</t>
  </si>
  <si>
    <t>搭载外星病毒的箭头，能够刺激身体机能，产生不可思议的变异。</t>
  </si>
  <si>
    <t>圣剑</t>
  </si>
  <si>
    <t>隐藏着巨大力量的武器，在合适的人手里能发挥惊人的力量。</t>
  </si>
  <si>
    <t>硬币</t>
  </si>
  <si>
    <t>正面1，背面0，是两仪，是乾坤。某卡牌玩家拥有可以跳费，某lv5拥有可以发射电磁炮。拥有无限的力量，可以使鬼推磨。</t>
  </si>
  <si>
    <t>魔法宝石</t>
  </si>
  <si>
    <t>血红色的宝石散发着神秘的光泽，拥有它的人将获得那里面储存的无尽魔力。</t>
  </si>
  <si>
    <t>时间书店</t>
  </si>
  <si>
    <t>贩卖书的地方，有什么书呢？让时间来决定吧。</t>
  </si>
  <si>
    <t>原型核心</t>
  </si>
  <si>
    <t>机械造物，品质保障。投放至世界各个角落，因生物产生变异：追求力量者使其变为力量核心，追求奥秘者使其变为睿智核心，追求恐惧者使其变为哀嚎核心。追求一切者使其变为原初的形体，统御万物的百机之王。</t>
  </si>
  <si>
    <t>护身符</t>
  </si>
  <si>
    <t>能救命吗？不知道，拿来挡一挡吧。</t>
  </si>
  <si>
    <t>玩命骰子</t>
  </si>
  <si>
    <t>写下三个好愿望和三个坏愿望，接下来就由不得你了。</t>
  </si>
  <si>
    <t>全自动农场机器人</t>
  </si>
  <si>
    <t>播种、灌溉、施肥、除草、收获，一键完成</t>
  </si>
  <si>
    <t>一张纸</t>
  </si>
  <si>
    <t>就是一张普通的A4白纸。</t>
  </si>
  <si>
    <t>世界树的树枝</t>
  </si>
  <si>
    <t>味辛、甘，性温。发汗解表、散寒止痛、通阳化气。用于风寒感冒、寒凝血滞诸痛症、痰饮、蓄水证、心悸……</t>
  </si>
  <si>
    <t>强欲之壶</t>
  </si>
  <si>
    <t>抽两张卡。</t>
  </si>
  <si>
    <t>无欲之壶</t>
  </si>
  <si>
    <t>将两张牌放回卡组。</t>
  </si>
  <si>
    <t>诡异的血</t>
  </si>
  <si>
    <t>死还是成为怪物？选一个吧。</t>
  </si>
  <si>
    <t>书</t>
  </si>
  <si>
    <t>记载着一切知识的一本书，可惜你翻不完，也看不懂，说不定还看疯了。</t>
  </si>
  <si>
    <t>法弗纳的宝藏</t>
  </si>
  <si>
    <t>宝藏是他的一切哦，包括被诅咒为龙。</t>
  </si>
  <si>
    <t>任意门</t>
  </si>
  <si>
    <t>是门任意不是你任意。</t>
  </si>
  <si>
    <t>纸人</t>
  </si>
  <si>
    <t>蕴含着魔力，可以使各种神奇的机关开始运作。而当它化为灰烬的时候，有人的命运会发生改变……</t>
  </si>
  <si>
    <t>魔法少女之杖</t>
  </si>
  <si>
    <t>是少女变成了施法者，还是施法者变成了少女？贵重物品，小心轻放。</t>
  </si>
  <si>
    <t>祂</t>
  </si>
  <si>
    <t>指水为酒，水上行走。</t>
  </si>
  <si>
    <t>替身使者</t>
  </si>
  <si>
    <t>四蛋都怕我！！！</t>
  </si>
  <si>
    <t>君王</t>
  </si>
  <si>
    <t>天生的统御者、指挥家。有他在，史诗战役易如反掌。</t>
  </si>
  <si>
    <t>牧师</t>
  </si>
  <si>
    <t>脏牧wncm!</t>
  </si>
  <si>
    <t>桑提诺•柯里昂</t>
  </si>
  <si>
    <t>教父的长子，天生的战术家和战场指挥官。弱点是鲁莽，还有他的家人。</t>
  </si>
  <si>
    <t>原初人类</t>
  </si>
  <si>
    <t>刚从伊甸园逃出来的，新鲜的，热乎的，活着的。</t>
  </si>
  <si>
    <t>吞噬缺神的秦川德里奇</t>
  </si>
  <si>
    <t>吞噬了缺神的另一个人格，他是香香鸡与摸鱼的共主。</t>
  </si>
  <si>
    <t>梦境领主</t>
  </si>
  <si>
    <t>现实我唯唯诺诺，梦境我重拳出击。</t>
  </si>
  <si>
    <t>复仇者</t>
  </si>
  <si>
    <t>你惹到他了，洗干净脖子等着吧。</t>
  </si>
  <si>
    <t>我们却需要一个象征，一把保护伞。</t>
  </si>
  <si>
    <t>肮脏的商人</t>
  </si>
  <si>
    <t>你最好祈祷你是最值得被利用的那一个。</t>
  </si>
  <si>
    <t>虚渊玄</t>
  </si>
  <si>
    <t>爱的战士。</t>
  </si>
  <si>
    <t>吸血鬼</t>
  </si>
  <si>
    <t>高贵的种族，暗夜的主人，蝙蝠携带者。</t>
  </si>
  <si>
    <t>AzureTimm</t>
  </si>
  <si>
    <t>穿着露背毛衣的肥胖男性，似乎很精通生物知识。虽然本身没有特殊能力，但对他所做的行为会影响到上层叙事级。</t>
  </si>
  <si>
    <t>千面者</t>
  </si>
  <si>
    <t>活着真累，面具真多。</t>
  </si>
  <si>
    <t>圣女</t>
  </si>
  <si>
    <t>上帝给予了她军事建议。</t>
  </si>
  <si>
    <t>不败的决斗者</t>
  </si>
  <si>
    <t>衣衫褴褛的决斗者，从未输过，因为没赢的都死了。</t>
  </si>
  <si>
    <t>尼采</t>
  </si>
  <si>
    <t>正如查拉如斯特拉所说，上帝已经死了。</t>
  </si>
  <si>
    <t>掘墓人</t>
  </si>
  <si>
    <t>他不停地为每条生命挖掘坟墓，直到足以埋葬一切，或是世界到达终焉之时</t>
  </si>
  <si>
    <t>器灵</t>
  </si>
  <si>
    <t>空空如也的空白灵魂，将其附着在死物上，会生成对应的人格化美少女。</t>
  </si>
  <si>
    <t>自信的人</t>
  </si>
  <si>
    <t>哈哈哈哈哈哈哈哈哈哈哈哈哈哈哈哈哈哈哈哈哈哈哈哈哈哈哈哈哈哈哈哈哈哈哈哈。</t>
  </si>
  <si>
    <t>安撒列尔</t>
  </si>
  <si>
    <t>谈判，和解，宣战……从家族到种族，一切的外交事务都了然于胸，为你介绍，最优秀的外交家。</t>
  </si>
  <si>
    <t>旅法师班克罗福特</t>
  </si>
  <si>
    <t>“虽然这里的地脉不在我认知范围之中，但乐观点总不是坏事，噢，我的朋友，让我翻翻我的包。还没自我介绍不是吗，我是播种者班克罗福特，元素的朋友，只为让这包种子繁衍生息，顺带旅行。”</t>
  </si>
  <si>
    <t>永恒决斗者】</t>
  </si>
  <si>
    <t>不会死去的骷髅死灵，也是狂热的决斗者。以永恒起誓，现在，一决胜负吧！</t>
  </si>
  <si>
    <t>燃烬之铠</t>
  </si>
  <si>
    <t>站起来吧，颓唐的空壳，熔炼的甲胄，再铸形骸，熇烧的烈火占据了你，罪恶的畸形充斥于你，披甲弑杀，愚妄之人，负罪之人。空虚的圣骸，憎恨的造物，永世沸腾。是牺牲者，是逝去者，是献祭者，亦是是殉道者。啊，枯朽的甲壳燃烧着，燃烧吧，燃烧的欲望，如鬼魅缠身，似欲壑难填。亵渎神灵，忤逆灵魂，贪婪的人啊，招致祸患，剥裂血肉，化为冰冷的柴薪，燃烧这，恶噩无望之火！愿终结，这烈火的诅咒，打破永世的苦难枷锁！</t>
  </si>
  <si>
    <t>叛道者</t>
  </si>
  <si>
    <t>被欺骗的罪人，堕落的圣徒，终会耗尽活力，众生的首领，由众人所爱到无人知晓，心灵因满溢的堕落而畏缩，承受着诅咒等待死亡降临，承受这份诅咒，哦，受祝福的圣人，诚挚的死反倒如恩赐一般，即将来访的永眠为汝归宿，谎言也随之消褪。去感受罪恶，感受痛苦，暴力和不断的玷污，献出血肉，献出灵智，沉浸在这无形的亵渎中。如此温柔的黑暗，他知晓着你。</t>
  </si>
  <si>
    <t>剑圣</t>
  </si>
  <si>
    <t>吃我一剑！白帝圣剑！御剑跟着我！</t>
  </si>
  <si>
    <t>无用之人</t>
  </si>
  <si>
    <t>平凡，中庸。</t>
  </si>
  <si>
    <t>苍小玄</t>
  </si>
  <si>
    <t>上一世代出产的武装人偶。仙人不用伤心，我还会陪在仙人身边的，只要人类文明发展到能够帮我充能，我就能再次醒来。然而一场大火燃烧了一切，她再也没有醒来，仙人也不再记得她。</t>
  </si>
  <si>
    <t>主角</t>
  </si>
  <si>
    <t>跌宕起伏，我们的焦点，还有什么好说的？</t>
  </si>
  <si>
    <t>平均之人</t>
  </si>
  <si>
    <t>一切都很平均，是这个世界的锚点。</t>
  </si>
  <si>
    <t>东国武士</t>
  </si>
  <si>
    <t>此剑即为吾之延伸，至刚之刃，斩断一切。</t>
  </si>
  <si>
    <t>无限转生者</t>
  </si>
  <si>
    <t>真•无限作死。</t>
  </si>
  <si>
    <t>无尽深渊</t>
  </si>
  <si>
    <t>无限的灵魂，受难的罪人，这里是无穷无尽，令人窒息的恐怖之地，恶魔的故乡。这里是环境极其恶劣，生命极其危险之地。这里是毫无道德伦理，永不停歇的杀戮之地。这里是从无友情，亲情，爱情，只有背叛，杀戮，毁灭的邪恶之地。</t>
  </si>
  <si>
    <t>风水宝地</t>
  </si>
  <si>
    <t>好地方，打算在这干点啥呢？</t>
  </si>
  <si>
    <t>传火祭祀场</t>
  </si>
  <si>
    <t>虚假的经历，隐藏在罗德兰时空裂缝中的不死人归宿。切忌，火焰终将燃尽。</t>
  </si>
  <si>
    <t>永恒战场</t>
  </si>
  <si>
    <t>不死不灭的光之英雄只身一人伫立这着，无穷无尽的暗之军势不知疲倦的发起进攻，在这里双方的争斗永远都不会停下。</t>
  </si>
  <si>
    <t>永寂冻土</t>
  </si>
  <si>
    <t>在这毫无生机的蓝色冰面下埋藏着什么古老者、远古的末世蝗虫还是陨落的神明谁知道呢？</t>
  </si>
  <si>
    <t>温暖的港湾，永远的归属。</t>
  </si>
  <si>
    <t>沦落王都</t>
  </si>
  <si>
    <t>骨肉皆为埃土，黄金锈迹斑驳，破碎的木屑一般，无物闪耀出光辉，如同本就不存在光芒。无能者高踞王位，邪祟者凌驾王位，无形的手隐忍欲望，觊觎无上王位。弃苍生而去的王啊，视而不见，苟且偷生，世间满目疮痍，然位不见王影。 先祖之城，已然倾颓，毁灭的回响，穿云裂石，破败之都，尸横遍野，一切罪恶都被埋葬在时砂之中，唯余断壁残垣。</t>
  </si>
  <si>
    <t>精灵圣树</t>
  </si>
  <si>
    <t>贤者长眠之所，精灵诞生之地。</t>
  </si>
  <si>
    <t>骑士之邦巴托尼斯</t>
  </si>
  <si>
    <t>骑士们！女神已经回应了我们的祷告，她赐予我们祝福。举起你们的长矛，现在，冲锋！</t>
  </si>
  <si>
    <t>撤硕儿</t>
  </si>
  <si>
    <t>囚禁着世界末日的终焉之地，世界的吞噬者在其中不停啃噬着万物之污秽，又不停创造着自己的食粮，知道整个世界迎来毁灭。</t>
  </si>
  <si>
    <t>空洞</t>
  </si>
  <si>
    <t>上方的空洞，看起来十分遥远。</t>
  </si>
  <si>
    <t>埋葬着那不为人知的罪恶。</t>
  </si>
  <si>
    <t>废弃建筑</t>
  </si>
  <si>
    <t>在这里发生过大大小小的故事，欢笑、落泪。见证过辉煌岁月，来往人群今已不再。</t>
  </si>
  <si>
    <t>碾碎或者被碾碎。</t>
  </si>
  <si>
    <t>穿越有三宝，系统，外挂，天赋高——禁止五常成建制穿越！</t>
  </si>
  <si>
    <t>造</t>
  </si>
  <si>
    <t>造就完了，兄弟们！</t>
  </si>
  <si>
    <t>死亡搁浅</t>
  </si>
  <si>
    <t>很久很久以前，有一场大爆炸……</t>
  </si>
  <si>
    <t>何谓真实</t>
  </si>
  <si>
    <t>真实不是脚下的土地，真实不是天上的佛国。真实是映入你眼中，却没被真正看见的事物。你有勇气面对真正的真实吗？</t>
  </si>
  <si>
    <t>决斗</t>
  </si>
  <si>
    <t>只有胜者会被人铭记，而失败者什么也不是。</t>
  </si>
  <si>
    <t>神秘之源</t>
  </si>
  <si>
    <t>有一种传说被揭示；有一种遥远被发现；有一粒种子悄然在最适合它的土地上埋下了根。</t>
  </si>
  <si>
    <t>战争狂潮</t>
  </si>
  <si>
    <t>很简单，不是你死就是我亡；不是吞并就是被血洗；我们势必会为自己加冕，抑或凋零，成为他人脚下的尘埃。</t>
  </si>
  <si>
    <t>研发成功</t>
  </si>
  <si>
    <t>姗姗来迟的特效药，终结了一场旷日持久的瘟疫。</t>
  </si>
  <si>
    <t>蒸汽时代</t>
  </si>
  <si>
    <t>是的先生们，请看，就是这不起眼的液体，它所产生的动力，将为我们叩响天国的门扉。这是人类的智慧的冠冕，它是机器的灵魂，是神明的血液。现在，让我们举杯，为新时代接生。</t>
  </si>
  <si>
    <t>赛博时代</t>
  </si>
  <si>
    <t>在不远的未来，一切皆有可能。生或死，虚幻或者真实，血肉或钢铁，在电子和霓虹灯的雪崩中，我们如此无力。</t>
  </si>
  <si>
    <t>碳酸时代</t>
  </si>
  <si>
    <t>碳酸饮料是圣子之血——这句话可不是空口凭说，碳酸的爆发力超乎蒸汽。现在——Colo的时代，来临了！</t>
  </si>
  <si>
    <t>地外事物</t>
  </si>
  <si>
    <t>祂来自星空，无意间粉碎了文明。但是没有关系，在亘古的永恒中，连死亡也会随时间消散。</t>
  </si>
  <si>
    <t>苍穹陨落</t>
  </si>
  <si>
    <t>我是杞人，我是对的。</t>
  </si>
  <si>
    <t>第一类接触</t>
  </si>
  <si>
    <t>“歪比歪比？歪比巴卜。”“这外星鸟人在说什么，你来给我翻译翻译。”</t>
  </si>
  <si>
    <t>星空外的高歌</t>
  </si>
  <si>
    <t>有什么事物被唤醒了，有什么事物将降临于这片土地。</t>
  </si>
  <si>
    <t>倒转</t>
  </si>
  <si>
    <t>时间回溯了，没有人记得这件事，除了……</t>
  </si>
  <si>
    <t>虫群</t>
  </si>
  <si>
    <t>有一个好消息和一个坏消息。好消息是，借助星门，人类的灵魂将不再受重力的束缚，我们終于实现了星球之间的跨越；坏消息是，我们不知道，在星空中，星门开启的波动，对于泰伦虫群有多明显。</t>
  </si>
  <si>
    <t>人类补完计划</t>
  </si>
  <si>
    <t>血色的一切，似乎他们都回归了母亲的怀抱。</t>
  </si>
  <si>
    <t>粪便朋克</t>
  </si>
  <si>
    <t>当那帮拉高能燃料屎的虫子砸在地球上时，我们应该想到一切都会变成地狱。</t>
  </si>
  <si>
    <t>长虹贯日</t>
  </si>
  <si>
    <t>王权没有永恒，你的统治终结于此。</t>
  </si>
  <si>
    <t>“黄金”时代！</t>
  </si>
  <si>
    <t>如果挖到的不是化粪池就好了……</t>
  </si>
  <si>
    <t>揭开第四印的时候，我听见第四个活物说……</t>
  </si>
  <si>
    <t>机动战士</t>
  </si>
  <si>
    <t>由于高能粒子的存在，以往所构想的战争方式全部都被改写，现在是高机动人形兵器的时代……虽然是这么说，但这可是男人的浪漫啊，驾驶机器人打炮真的好爽。</t>
  </si>
  <si>
    <t>拯救计划</t>
  </si>
  <si>
    <t>一群人集结在一起，为了避免一个悲伤的结局……</t>
  </si>
  <si>
    <t>失败了失败了失败了</t>
  </si>
  <si>
    <t>失败了失败了失败了失败了失败了失败了失败了失败了失败了失败了失败了失败了失败了失败了失败了失败了失败了失败了失败了失败了失败了失败了失败了失败了失败了失败了失败了失败了失败了失败了失败了失败了失败了失败了失败了失败了</t>
  </si>
  <si>
    <t>君权神授</t>
  </si>
  <si>
    <t>上帝赐下神力，让祂的代言者征服人间。</t>
  </si>
  <si>
    <t>改革开放</t>
  </si>
  <si>
    <t>有位老人在南海边画了一个圈。</t>
  </si>
  <si>
    <t>绝天地通</t>
  </si>
  <si>
    <t>上帝的归上帝，凯撒的归凯撒。</t>
  </si>
  <si>
    <t>至死方休</t>
  </si>
  <si>
    <t>一个杀手失去了他的爱人和他的狗，现在正饱含怒火，即将夺走几百条生命。</t>
  </si>
  <si>
    <t>混沌</t>
  </si>
  <si>
    <t>诞生于人心，封印于人心，复苏于人心。以心为食，人心尚在，灾厄不绝。</t>
  </si>
  <si>
    <t>爆发</t>
  </si>
  <si>
    <t>也许是火山、暴雨、能源或是人心……总之，某样东西爆发了。</t>
  </si>
  <si>
    <t>咕咕咕</t>
  </si>
  <si>
    <t>咕咕咕咕咕，咕咕？</t>
  </si>
  <si>
    <t>战乱年代</t>
  </si>
  <si>
    <t>一切都源于一位品行如希腊戏剧的主角般恶劣的领主。</t>
  </si>
  <si>
    <t>更新</t>
  </si>
  <si>
    <t>好累啊，要不咕咕咕了吧？</t>
  </si>
  <si>
    <t>时间的循环</t>
  </si>
  <si>
    <t>已行之事，终将再行。</t>
  </si>
  <si>
    <t>螺岩</t>
  </si>
  <si>
    <t>这就是传奇的开始：你的钻头可是能突破天际的啊！</t>
  </si>
  <si>
    <t>终焉之时</t>
  </si>
  <si>
    <t>“什么都会有个尽头的，不是吗？”这是祂的最后一句话。</t>
  </si>
  <si>
    <t>幽灵诞生</t>
  </si>
  <si>
    <t>“现在，一个幽灵飘荡在大陆上空！”西装革履的绅士如是说的。</t>
  </si>
  <si>
    <t>异端</t>
  </si>
  <si>
    <t>或许是一种异端的出现才会让人发现改变。</t>
  </si>
  <si>
    <t>走向共和</t>
  </si>
  <si>
    <t>这大概要花两百年。</t>
  </si>
  <si>
    <t>撤硕</t>
  </si>
  <si>
    <t>任何建筑都可以是它，只要你不在意别人眼光的话。</t>
  </si>
  <si>
    <t>唯物至上</t>
  </si>
  <si>
    <t>“该认清现实了，没有所谓‘神圣的思维火花’赋予生命体某种特殊的价值！”除了我们选择授予的，没有任何东西拥有其内在的独一无二的价值。让我们拥抱确信的自由。</t>
  </si>
  <si>
    <t>唯心永恒</t>
  </si>
  <si>
    <t>我们已经证明了意识乃现实之父。我们耐心的审视那些用其他世界观欺骗自己的人。他们做着孩童般幼稚的努力，翻弄着一块块“实在的物质”。</t>
  </si>
  <si>
    <t>无</t>
  </si>
  <si>
    <t>无即是有。</t>
  </si>
  <si>
    <t>潮流</t>
  </si>
  <si>
    <t>我们的世界在变，潮流也在变。</t>
  </si>
  <si>
    <t>选择</t>
  </si>
  <si>
    <t>live or die,that's a problem.</t>
  </si>
  <si>
    <t>神造论</t>
  </si>
  <si>
    <t>世界由一个叫CUna7F9的神创造。</t>
  </si>
  <si>
    <t>对外界的好奇引导我们前进，而寰宇中仍有许多等待去发现。</t>
  </si>
  <si>
    <t>树形演化</t>
  </si>
  <si>
    <t>生物进化的历程确定为树状图。</t>
  </si>
  <si>
    <t>和谐</t>
  </si>
  <si>
    <t>和谐而富足的人民，为了同一目标努力工作，这样的力量无可匹敌。</t>
  </si>
  <si>
    <t>数码世界</t>
  </si>
  <si>
    <t>这是由零与一所构成的世界，这是与现实相对立的数据空间。</t>
  </si>
  <si>
    <t>自然创造</t>
  </si>
  <si>
    <t>由天地灵气创造的产物。</t>
  </si>
  <si>
    <t>进化</t>
  </si>
  <si>
    <t>从单细胞，到哺乳动物，再由人，到神。</t>
  </si>
  <si>
    <t>天地人</t>
  </si>
  <si>
    <t>三个字后，天地不再混沌。</t>
  </si>
  <si>
    <t>现在你可以证伪了。</t>
  </si>
  <si>
    <t>至高</t>
  </si>
  <si>
    <t>未来属于最强有力的征服者。</t>
  </si>
  <si>
    <t>掌控进化</t>
  </si>
  <si>
    <t>自然进化一直以来只能用一个简单又粗暴的词来形容：失败。如今，我们将亲自定义成功。</t>
  </si>
  <si>
    <t>群星的歌声</t>
  </si>
  <si>
    <t>嘘，听见了吗？祂们的歌谣……</t>
  </si>
  <si>
    <t>这是刻在记忆深处的东西。回家吧，无论你身在何方。</t>
  </si>
  <si>
    <t>怨恨</t>
  </si>
  <si>
    <t>无理由的恶意的浪潮。</t>
  </si>
  <si>
    <t>1/2的可能</t>
  </si>
  <si>
    <t>选择吧，五对五的胜负，你敢赌吗？</t>
  </si>
  <si>
    <t>没有人听见你的呼救，自然不会有人来救你。</t>
  </si>
  <si>
    <t>球体</t>
  </si>
  <si>
    <t>所有球体。</t>
  </si>
  <si>
    <t>四十九</t>
  </si>
  <si>
    <t>那句话怎么说来着？大衍之数五十，其用四十有九。</t>
  </si>
  <si>
    <t>光</t>
  </si>
  <si>
    <t>光明一定正确吗？</t>
  </si>
  <si>
    <t>世界是一个黑箱。</t>
  </si>
  <si>
    <t>灾变</t>
  </si>
  <si>
    <t>这是天灾，还是人祸？不可考据，不可臆测。</t>
  </si>
  <si>
    <t>它代表着历史，但是是哪一段历史呢？</t>
  </si>
  <si>
    <t>伪证</t>
  </si>
  <si>
    <t>所谓的科学只是一场骗局。</t>
  </si>
  <si>
    <t>悔恨</t>
  </si>
  <si>
    <t>只有眼泪的痕迹。</t>
  </si>
  <si>
    <t>摸了</t>
  </si>
  <si>
    <t>摸了。</t>
  </si>
  <si>
    <t>咕</t>
  </si>
  <si>
    <t>又是可以摸鱼的一天呐，但好像总有点罪恶感是怎么回事呢？</t>
  </si>
  <si>
    <t>神话</t>
  </si>
  <si>
    <t>末日</t>
  </si>
  <si>
    <t>先知</t>
  </si>
  <si>
    <t>半神</t>
  </si>
  <si>
    <t>工业革命</t>
  </si>
  <si>
    <t>机械天灾</t>
  </si>
  <si>
    <t>神迹</t>
  </si>
  <si>
    <t>机械文明</t>
  </si>
  <si>
    <t>蜂群意识</t>
  </si>
  <si>
    <t>充气糖浆导弹</t>
  </si>
  <si>
    <t>引爆可乐，甜云升天！</t>
  </si>
  <si>
    <t>自动售货机式防空炮</t>
  </si>
  <si>
    <t>它集防御外星人入侵和解渴功能于一身。</t>
  </si>
  <si>
    <t>可口可乐总裁</t>
  </si>
  <si>
    <t>谁掌控了可乐，谁就掌控了肥宅；谁掌控了肥宅，谁就掌控了未来。</t>
  </si>
  <si>
    <t>龙国建立</t>
  </si>
  <si>
    <t>拥有文明的巨龙将强大无比。</t>
  </si>
  <si>
    <t>神降</t>
  </si>
  <si>
    <t>神的灵被逼下尘世，寻找依附。</t>
  </si>
  <si>
    <t>核能的发现</t>
  </si>
  <si>
    <t>一种几乎无穷的能量——这是划时代的发现！</t>
  </si>
  <si>
    <t>核能的滥用</t>
  </si>
  <si>
    <t>又有什么关系呢？</t>
  </si>
  <si>
    <t>核灾爆发</t>
  </si>
  <si>
    <t>世界陷入了危机……再一次。</t>
  </si>
  <si>
    <t>灵光乱闪</t>
  </si>
  <si>
    <t>可乐博士</t>
  </si>
  <si>
    <t>人体可乐化的实验，已经来到了最后一步……</t>
  </si>
  <si>
    <t>不死化</t>
  </si>
  <si>
    <t>双月</t>
  </si>
  <si>
    <t>星星</t>
  </si>
  <si>
    <t>点化</t>
  </si>
  <si>
    <t>智慧生物</t>
  </si>
  <si>
    <t>美好</t>
  </si>
  <si>
    <t>转生</t>
  </si>
  <si>
    <t>硅基生命</t>
  </si>
  <si>
    <t>硅基生物</t>
  </si>
  <si>
    <t>人祸</t>
  </si>
  <si>
    <t>不灭</t>
  </si>
  <si>
    <t>差分机</t>
  </si>
  <si>
    <t>传奇</t>
  </si>
  <si>
    <t>恢复</t>
  </si>
  <si>
    <t>连接</t>
  </si>
  <si>
    <t>快速</t>
  </si>
  <si>
    <t>常识</t>
  </si>
  <si>
    <t>奇遇</t>
  </si>
  <si>
    <t>时刻塔</t>
  </si>
  <si>
    <t>加速</t>
  </si>
  <si>
    <t>理性</t>
  </si>
  <si>
    <t>逻辑</t>
  </si>
  <si>
    <t>时间</t>
  </si>
  <si>
    <t>无中生有</t>
  </si>
  <si>
    <t>一线生机</t>
  </si>
  <si>
    <t>原始打字机</t>
  </si>
  <si>
    <t>空间魔法</t>
  </si>
  <si>
    <t>铁器</t>
  </si>
  <si>
    <t>实现</t>
  </si>
  <si>
    <t>土元素生命</t>
  </si>
  <si>
    <t>冰河时期</t>
  </si>
  <si>
    <t>梦魇</t>
  </si>
  <si>
    <t>魔法狂热</t>
  </si>
  <si>
    <t>控制</t>
  </si>
  <si>
    <t>万类共生</t>
  </si>
  <si>
    <t>娱乐至死</t>
  </si>
  <si>
    <t>魔法学派</t>
  </si>
  <si>
    <t>七曜魔法</t>
  </si>
  <si>
    <t>合并</t>
  </si>
  <si>
    <t>防护学派</t>
  </si>
  <si>
    <t>丰饶</t>
  </si>
  <si>
    <t>感染</t>
  </si>
  <si>
    <t>精神</t>
  </si>
  <si>
    <t>科技</t>
  </si>
  <si>
    <t>青铜器</t>
  </si>
  <si>
    <t>生命</t>
  </si>
  <si>
    <t>死灵学派</t>
  </si>
  <si>
    <t>增值</t>
  </si>
  <si>
    <t>召唤学派</t>
  </si>
  <si>
    <t>制度</t>
  </si>
  <si>
    <t>咒法学派</t>
  </si>
  <si>
    <t>将一张牌的颜色变为橙色。</t>
  </si>
  <si>
    <t>欺骗</t>
  </si>
  <si>
    <t>小孩子撒谎不做作业是欺骗，1999年的事也是欺骗。</t>
  </si>
  <si>
    <t>古城湮灭</t>
  </si>
  <si>
    <t>一座古城，被漫天黄沙吞噬了。或许数千年后，它隐藏的历史才可以重现光明。</t>
  </si>
  <si>
    <t>牌中世界</t>
  </si>
  <si>
    <t>抽牌，出牌，比肩神明，绝妙的想法，但你不可否认，我们也有可能是牌桌上的筹码。</t>
  </si>
  <si>
    <t>黑死病</t>
  </si>
  <si>
    <t>不是自然的选择，而是神秘学上灾厄的化身——魔王于此降临。</t>
  </si>
  <si>
    <t>回归之兽</t>
  </si>
  <si>
    <t>苏美尔母神回归。人子啊，遵从起源之声——</t>
  </si>
  <si>
    <t>最后的陨落</t>
  </si>
  <si>
    <t>无尽的坠落。</t>
  </si>
  <si>
    <t>启示录</t>
  </si>
  <si>
    <t>有权柄赐给他们，可以用刀剑、饥荒、瘟疫、野兽，杀害地上四分之一的人。</t>
  </si>
  <si>
    <t>死者苏生</t>
  </si>
  <si>
    <t>他们从坟墓里爬出来了。他们……回来了。那是……逆反生死的超大炼金术！</t>
  </si>
  <si>
    <t>反转</t>
  </si>
  <si>
    <t>颠覆常理的大逆转 。</t>
  </si>
  <si>
    <t>岩浆雨</t>
  </si>
  <si>
    <t>细密如雨，猩红似血。生灵弹指间灰飞烟灭。绝望、哭喊、恐惧戛然而止，地动山摇化作一片寂静。</t>
  </si>
  <si>
    <t>大赦</t>
  </si>
  <si>
    <t>新皇登基，大赦天下。 无数狱中囚徒、劳苦农奴重获自由，重见天日。摆脱命运的他们，却仍然是蝼蚁。</t>
  </si>
  <si>
    <t>世界线变动</t>
  </si>
  <si>
    <t>这里……不是我的世界！</t>
  </si>
  <si>
    <t>能力觉醒</t>
  </si>
  <si>
    <t>每个人都是超级英雄。</t>
  </si>
  <si>
    <t>神秘回归</t>
  </si>
  <si>
    <t>祂们回来了，剩下的不过都是副产品。</t>
  </si>
  <si>
    <t>（无）</t>
  </si>
  <si>
    <t>人理烧却</t>
  </si>
  <si>
    <t>人类的末日近在眼前，魔神王的力量超越是三千年的时光。</t>
  </si>
  <si>
    <t>篡位</t>
  </si>
  <si>
    <t>坐在王座上的国王，被握着匕首的宰相夺取了生命，权利，与一切。</t>
  </si>
  <si>
    <t>War.War never changes.</t>
  </si>
  <si>
    <t>神明</t>
  </si>
  <si>
    <t>水神</t>
  </si>
  <si>
    <t>审判日</t>
  </si>
  <si>
    <t>大灭绝</t>
  </si>
  <si>
    <t>XK级末日</t>
  </si>
  <si>
    <t>传说</t>
  </si>
  <si>
    <t>万物归一</t>
  </si>
  <si>
    <t>齐天大圣</t>
  </si>
  <si>
    <t>你知道他是谁。</t>
  </si>
  <si>
    <t>没有人能逃过命运。</t>
  </si>
  <si>
    <t>化不可能为可能，转可能为不可能，既创造奇迹亦扼杀奇迹，既颠倒是非亦拨正黑白！</t>
  </si>
  <si>
    <t>尤克特拉希尔</t>
  </si>
  <si>
    <t>尼德霍格不在这里吧？</t>
  </si>
  <si>
    <t>神……小姐？</t>
  </si>
  <si>
    <t>你你你！你快放开我啊喂，我不是什么Ap……总而言之！快把我从这张卡里放出去！</t>
  </si>
  <si>
    <t>神圣的大陆</t>
  </si>
  <si>
    <t>安洁之地，应许无疆</t>
  </si>
  <si>
    <t>诸神黄昏</t>
  </si>
  <si>
    <t>现在，轮到你们了！</t>
  </si>
  <si>
    <t>英雄出场</t>
  </si>
  <si>
    <t>让你们久等了，一切都交给我吧，我来结束这一切！</t>
  </si>
  <si>
    <t>雷加鲁克</t>
  </si>
  <si>
    <t>必将应验的终末预言。</t>
  </si>
  <si>
    <t>有始有终</t>
  </si>
  <si>
    <t>有开始，就会有结束。失散不是结局，坠落不是开始。</t>
  </si>
  <si>
    <t>黑铁囚笼</t>
  </si>
  <si>
    <t>一个没有锁的笼子，但是你永远无法从内部打开它。</t>
  </si>
  <si>
    <t>SCP-294</t>
  </si>
  <si>
    <t>你不会真的只用它点咖啡吧？</t>
  </si>
  <si>
    <t>真理祭坛</t>
  </si>
  <si>
    <t>任何问题都能在这里得到一个正确的答案。“42是哪个问题的答案？”“41+1=？”</t>
  </si>
  <si>
    <t>缚棺者</t>
  </si>
  <si>
    <t>百亿智人灭亡之仇，由我……</t>
  </si>
  <si>
    <t>纯白卡</t>
  </si>
  <si>
    <t>一个容器，看不到上限的容器。</t>
  </si>
  <si>
    <t>代价</t>
  </si>
  <si>
    <t>如果你需要支付一种代价，那么它便是最重的筹码。</t>
  </si>
  <si>
    <t>幻想乡</t>
  </si>
  <si>
    <t>诸神眷恋之所，神秘最后的港湾。</t>
  </si>
  <si>
    <t>星源</t>
  </si>
  <si>
    <t>繁星起源之地，曾从中流淌出奇迹。</t>
  </si>
  <si>
    <t>服食禁果</t>
  </si>
  <si>
    <t>打破什么，舍弃什么，得到什么。</t>
  </si>
  <si>
    <t>奎斯托</t>
  </si>
  <si>
    <t>这阿波罗的头怎么拧下来就不亮了？我还想当灯泡使呢！</t>
  </si>
  <si>
    <t>上上签</t>
  </si>
  <si>
    <t>恭喜你！</t>
  </si>
  <si>
    <t>暴君那比斯</t>
  </si>
  <si>
    <t>如果我无法说服你，或许我美丽的爱琵加可以。</t>
  </si>
  <si>
    <t>黄衣之王</t>
  </si>
  <si>
    <t>没错，祂就是——住在深海的大菠萝里的……呜，等下……呜……</t>
  </si>
  <si>
    <t>牌……放水世界的通道</t>
  </si>
  <si>
    <t>精灵！地精！熊猫！神小姐！A……</t>
  </si>
  <si>
    <t>时空镣铐</t>
  </si>
  <si>
    <t>没人能看到它，没人能摸到它。唯有世界线与因果律不再震颤。</t>
  </si>
  <si>
    <t>可乐万用</t>
  </si>
  <si>
    <t>可乐即是一切，一切为了可乐，一切属于可乐。</t>
  </si>
  <si>
    <t>小行星坠落</t>
  </si>
  <si>
    <t>别向着它许愿了！要是不及时阻止的话……</t>
  </si>
  <si>
    <t>波尔代热斯现象</t>
  </si>
  <si>
    <t>尖叫？哭泣？物体移动？</t>
  </si>
  <si>
    <t>重拳出击</t>
  </si>
  <si>
    <t>这张卡将随机召唤一位传奇级以上的英雄，朝目标挥出全力一拳，可多次使用。</t>
  </si>
  <si>
    <t>苦心的预言家</t>
  </si>
  <si>
    <t>因为泄露天机，他现在正在不断的吐血，如果你有什么想问的，最好趁早。</t>
  </si>
  <si>
    <t>女娲的补天石</t>
  </si>
  <si>
    <t>弥补任何概念或是实质性的“缺口”，使用前请先烧化。</t>
  </si>
  <si>
    <t>大（龙）虾浓汤</t>
  </si>
  <si>
    <t>喝下这碗由真龙与邪神熬煮而成的汤吧，感受世界的律动。看，成神很容易，不是吗？但代价是什么呢？</t>
  </si>
  <si>
    <t>朝发夕至</t>
  </si>
  <si>
    <t>白天许下一个愿望，或许等到晚上它就来了。</t>
  </si>
  <si>
    <t>碳酸聚能卫星</t>
  </si>
  <si>
    <t>对所有异端实施天基可乐打击！</t>
  </si>
  <si>
    <t>重糖力·马克V型</t>
  </si>
  <si>
    <t>故事要从某个扫描了汽水自动售货机的赛博坦人说起……</t>
  </si>
  <si>
    <t>约翰·彭伯顿</t>
  </si>
  <si>
    <t>发掘出这种神秘的黑色液体，不经意间彻底改变了世界。</t>
  </si>
  <si>
    <t>龙族盛世</t>
  </si>
  <si>
    <t>巨龙统治整片大陆，这是巨龙的黄金时代，也是龙族的巅峰。</t>
  </si>
  <si>
    <t>神行走于地上</t>
  </si>
  <si>
    <t>世界法则大变，神灵不再高高在上，众神被迫降临世间，地上神国时代开启。</t>
  </si>
  <si>
    <t>咒能的发现</t>
  </si>
  <si>
    <t>精灵发现了一种全新的能源，它近乎能实现一切！然而他们并不知晓，这是世界的血液。</t>
  </si>
  <si>
    <t>咒能的滥用</t>
  </si>
  <si>
    <t>贪得无厌的精灵在索取着更多，更加多的咒能！所有的智慧种族也都加入了这场自我毁灭的狂欢！</t>
  </si>
  <si>
    <t>末法时代</t>
  </si>
  <si>
    <t>生机逝去，能源枯竭，神秘不再。</t>
  </si>
  <si>
    <t>灵光爆闪</t>
  </si>
  <si>
    <t>可乐人</t>
  </si>
  <si>
    <t>它，即是世间所有可乐的人格化！</t>
  </si>
  <si>
    <t>乌托邦</t>
  </si>
  <si>
    <t>多</t>
  </si>
  <si>
    <t>理解神明本质</t>
  </si>
  <si>
    <t>通天桥</t>
  </si>
  <si>
    <t>演化</t>
  </si>
  <si>
    <t>复制</t>
  </si>
  <si>
    <t>扭曲</t>
  </si>
  <si>
    <t>史诗</t>
  </si>
  <si>
    <t>下位神明</t>
  </si>
  <si>
    <t>第一次生物大灭绝</t>
  </si>
  <si>
    <t>虫群意识</t>
  </si>
  <si>
    <t>苦难</t>
  </si>
  <si>
    <t>星空</t>
  </si>
  <si>
    <t>灾难</t>
  </si>
  <si>
    <t>爱情</t>
  </si>
  <si>
    <t>太阳</t>
  </si>
  <si>
    <t>永生</t>
  </si>
  <si>
    <t>秩序</t>
  </si>
  <si>
    <t>智慧</t>
  </si>
  <si>
    <t>史莱姆魔人</t>
  </si>
  <si>
    <t>可爱、华丽、柔软、高贵、勇敢、忠诚、多样。两位神明共同创造，近乎完美的作品。</t>
  </si>
  <si>
    <t>萝莉降神团（贪吃蛇萝莉团）</t>
  </si>
  <si>
    <t>梦境</t>
  </si>
  <si>
    <t>睡吧，睡吧，我亲爱的宝贝。</t>
  </si>
  <si>
    <t>镜子</t>
  </si>
  <si>
    <t>等等，这个怎么是场所？</t>
  </si>
  <si>
    <t>模因污染</t>
  </si>
  <si>
    <t>你不会希望这种事发生的</t>
  </si>
  <si>
    <t>肃正协议</t>
  </si>
  <si>
    <t>下北泽</t>
  </si>
  <si>
    <t>这里，大概就是希望开始的地方吧……！</t>
  </si>
  <si>
    <t>乐园计划</t>
  </si>
  <si>
    <t>制造一场能毁灭90%的人的灾变，再加上被牢牢控制住的绿洲和解药，神就是这样诞生的。。</t>
  </si>
  <si>
    <t>新时代</t>
  </si>
  <si>
    <t>老旧的古董只会被扫到历史的垃圾堆里，今时已不再同往日了！</t>
  </si>
  <si>
    <t>开天辟地</t>
  </si>
  <si>
    <t>天地混沌如鸡子，盘古生在其中，万八千岁，天地开辟，阳清为天，阴浊为地，盘古在其中。</t>
  </si>
  <si>
    <t>黑洞</t>
  </si>
  <si>
    <t>这是终焉还是新天地？</t>
  </si>
  <si>
    <t>孔雀明王</t>
  </si>
  <si>
    <t>佛母。</t>
  </si>
  <si>
    <t>放……人造世界9999号的投影</t>
  </si>
  <si>
    <t>嘁，我把我的世界照过来了，以后经常来找我玩啊，还有！不要叫我神小姐！我叫艾萝丝，给我好好的记住了啊</t>
  </si>
  <si>
    <t>花开之日</t>
  </si>
  <si>
    <t>至少……结局还算美好。</t>
  </si>
  <si>
    <t>圣子</t>
  </si>
  <si>
    <t>祂来了。</t>
  </si>
  <si>
    <t>暂停键</t>
  </si>
  <si>
    <t>老旧随身听上拆下来的按键。被遗忘在某个抽屉里。没了外壳的按键要怎样才能按得下去呢。</t>
  </si>
  <si>
    <t>如意</t>
  </si>
  <si>
    <t>如意如意，随我心意，快快显灵。</t>
  </si>
  <si>
    <t>逍遥</t>
  </si>
  <si>
    <t>至人无己，神人无功，圣人无名。</t>
  </si>
  <si>
    <t>忠诚</t>
  </si>
  <si>
    <t>向此界，效忠！</t>
  </si>
  <si>
    <t>原初</t>
  </si>
  <si>
    <t>一切的一。</t>
  </si>
  <si>
    <t>世界线</t>
  </si>
  <si>
    <t>如果当时我不是这样做而是那样做的话……</t>
  </si>
  <si>
    <t>门</t>
  </si>
  <si>
    <t>一切意义上的门，打开它就能看到你想看到的一切。</t>
  </si>
  <si>
    <t>孔子</t>
  </si>
  <si>
    <t>教化万民。</t>
  </si>
  <si>
    <t>奥利瑞安·索尔</t>
  </si>
  <si>
    <t>群星逝去，光辉长存。</t>
  </si>
  <si>
    <t>次元超越</t>
  </si>
  <si>
    <t>撒，塔苯瓦哟！</t>
  </si>
  <si>
    <t>概念崩坏</t>
  </si>
  <si>
    <t>e＝3 π＝4</t>
  </si>
  <si>
    <t>第四面墙</t>
  </si>
  <si>
    <t>原来我只是你笔下的生物吗？</t>
  </si>
  <si>
    <t>缸中大脑</t>
  </si>
  <si>
    <t>一个世界！但是……等等，为什么这个世界可以放出来？</t>
  </si>
  <si>
    <t>人鱼蜡</t>
  </si>
  <si>
    <t>古墓墓道中的长明灯，借以盗墓人的意志燃烧，还以所期待的和所幻想的美梦。</t>
  </si>
  <si>
    <t>女体化</t>
  </si>
  <si>
    <t>同性生育</t>
  </si>
  <si>
    <t>幸福</t>
  </si>
  <si>
    <t>成神</t>
  </si>
  <si>
    <t>道场</t>
  </si>
  <si>
    <t>悟道之地。</t>
  </si>
  <si>
    <t>异界勇者召唤法阵</t>
  </si>
  <si>
    <t>“啊？怎么这次又是日本高中生？”</t>
  </si>
  <si>
    <t>伊甸园</t>
  </si>
  <si>
    <t>最初的乐园。</t>
  </si>
  <si>
    <t>镀金玫瑰酒馆</t>
  </si>
  <si>
    <t>一切传说人物诞生的起点。</t>
  </si>
  <si>
    <t>终焉沙漠</t>
  </si>
  <si>
    <t>这里没有沙子，只有绝望。</t>
  </si>
  <si>
    <t>万灵宗</t>
  </si>
  <si>
    <t>“从今日起，修真界唯我万灵宗马首是瞻。”</t>
  </si>
  <si>
    <t>肉山</t>
  </si>
  <si>
    <t>它们一无所有。</t>
  </si>
  <si>
    <t>方舟号</t>
  </si>
  <si>
    <t>这是最后的希望。</t>
  </si>
  <si>
    <t>巨剑</t>
  </si>
  <si>
    <t>一把插入大地的巨剑，历经岁月磨洗，仿佛在等一个故事。</t>
  </si>
  <si>
    <t>断罪小学</t>
  </si>
  <si>
    <t>一所位于狼牙区飞虎路的私立学校。</t>
  </si>
  <si>
    <t>巨神兵</t>
  </si>
  <si>
    <t>这不是怪兽，是神！</t>
  </si>
  <si>
    <t>第四天灾</t>
  </si>
  <si>
    <t>一切的元凶，我们维度之上的存在。</t>
  </si>
  <si>
    <t>虚无</t>
  </si>
  <si>
    <t>概念尚未出现时，这是世界上唯一存在的。</t>
  </si>
  <si>
    <t>剧本家</t>
  </si>
  <si>
    <t>万物必会随祂的剧本而行动。</t>
  </si>
  <si>
    <t>太一</t>
  </si>
  <si>
    <t>祂于万物中。</t>
  </si>
  <si>
    <t>所罗门</t>
  </si>
  <si>
    <t>诞生之时到来，其为修缮万物者（Ars Paulina），戴冠之时到来，其为创始万物者（Ars Almadel Salomonis），诀别之时到来。其为放手世界者（Ars Nova）。神秘学始祖，也是神的代言人，更是人类的解放者。</t>
  </si>
  <si>
    <t>刻骨铭心。</t>
  </si>
  <si>
    <t>猶格·索托斯</t>
  </si>
  <si>
    <t>鑰匙和門,一生萬物，萬物歸一者,虛空之扉的超越者。如果能取悅它的話，它可能會賜以知識作報償。“人的天才只是火花，要想使它成熊熊火焰，哪就只有學習！學習！！！”</t>
  </si>
  <si>
    <t>毒龙</t>
  </si>
  <si>
    <t>不会钻，但同样致命。</t>
  </si>
  <si>
    <t>镜湖</t>
  </si>
  <si>
    <t>云，天，湖，还有你。</t>
  </si>
  <si>
    <t>赛博人的虚拟偶像</t>
  </si>
  <si>
    <t>人造的亚空间之神，是钥匙，也是情感的寄托赛博人会信仰电子神明吗？</t>
  </si>
  <si>
    <t>武器</t>
  </si>
  <si>
    <t>区别于工具的另一种人造物品，从它诞生开始就被赋予了最高的恶意。</t>
  </si>
  <si>
    <t>永恒的得不到回应的爱。</t>
  </si>
  <si>
    <t>凡世帝国</t>
  </si>
  <si>
    <t>For Sigma！For the old world！For warhammer！</t>
  </si>
  <si>
    <t>锁妖塔</t>
  </si>
  <si>
    <t>世间之诸邪并聚，万物之首恶共存。</t>
  </si>
  <si>
    <t>罗马斗兽场</t>
  </si>
  <si>
    <t>在这里，只要你奉上愿与饥饿的猛兽贴面舞的勇气与热血，你几乎能搏得你想要的一切。</t>
  </si>
  <si>
    <t>时间回溯</t>
  </si>
  <si>
    <t>“我想体验一把时空穿梭的感觉”
我向上天许了个愿：</t>
  </si>
  <si>
    <t>主神空间</t>
  </si>
  <si>
    <t>选择一个文学作品进入吧！</t>
  </si>
  <si>
    <t>混沌与秩序的聚集地，荒谬与真实的避风港。</t>
  </si>
  <si>
    <t>因果逆转</t>
  </si>
  <si>
    <t>因为它开花结果，所以我埋下种子。</t>
  </si>
  <si>
    <t>变法</t>
  </si>
  <si>
    <t>只需要死一点人就好……</t>
  </si>
  <si>
    <t>天界</t>
  </si>
  <si>
    <t>星球清洗装置，庞大的身影下是星球的选择。当然，他/她是活的。</t>
  </si>
  <si>
    <t>钢之大地</t>
  </si>
  <si>
    <t>人类的发展终于抵达了极限，星球即将死亡。</t>
  </si>
  <si>
    <t>地龙翻身</t>
  </si>
  <si>
    <t>掩埋在地下的奇珍异宝重新现世，与之伴生的巨兽恶虫也被寻宝人的血肉唤醒。机遇与危险，你看到的是哪个？</t>
  </si>
  <si>
    <t>脚男</t>
  </si>
  <si>
    <t>上上次是巨龙，上次是古神，怎么还是你？</t>
  </si>
  <si>
    <t>调零</t>
  </si>
  <si>
    <t>时间崩塌</t>
  </si>
  <si>
    <t>时间湮灭</t>
  </si>
  <si>
    <t>希望</t>
  </si>
  <si>
    <t>阿撒托斯</t>
  </si>
  <si>
    <t>世界是祂的梦</t>
  </si>
  <si>
    <t>奈亚拉托提普</t>
  </si>
  <si>
    <t>那些盲目、喑哑、痴愚的蕃神们——正缓慢、笨拙、荒谬地跳起舞蹈。而它们的灵魂就是奈亚拉托提普。</t>
  </si>
  <si>
    <t>纱布尼古拉斯</t>
  </si>
  <si>
    <t>“黑暗丰穰之女神”、“至高母神”、“孕育万千子孙的森之黑山羊”</t>
  </si>
</sst>
</file>

<file path=xl/styles.xml><?xml version="1.0" encoding="utf-8"?>
<styleSheet xmlns="http://schemas.openxmlformats.org/spreadsheetml/2006/main">
  <numFmts count="1">
    <numFmt numFmtId="0" formatCode="General"/>
  </numFmts>
  <fonts count="11">
    <font>
      <name val="宋体"/>
      <sz val="11"/>
    </font>
    <font>
      <name val="宋体"/>
      <charset val="134"/>
      <sz val="11"/>
    </font>
    <font>
      <name val="微软雅黑"/>
      <b/>
      <charset val="134"/>
      <sz val="11"/>
    </font>
    <font>
      <name val="宋体"/>
      <charset val="134"/>
      <sz val="11"/>
      <color rgb="FF000000"/>
    </font>
    <font>
      <name val="微软雅黑"/>
      <charset val="134"/>
      <sz val="11"/>
    </font>
    <font>
      <name val="宋体"/>
      <b/>
      <charset val="134"/>
      <sz val="11"/>
    </font>
    <font>
      <name val="宋体"/>
      <b/>
      <charset val="134"/>
      <sz val="11"/>
      <color rgb="FF000000"/>
    </font>
    <font>
      <name val="宋体"/>
      <strike/>
      <charset val="134"/>
      <sz val="11"/>
    </font>
    <font>
      <name val="宋体"/>
      <b/>
      <charset val="134"/>
      <sz val="11"/>
      <color rgb="FFFF0000"/>
    </font>
    <font>
      <name val="宋体"/>
      <charset val="134"/>
      <sz val="11"/>
      <color rgb="FFFFFFFF"/>
    </font>
    <font>
      <name val="宋体"/>
      <charset val="134"/>
      <sz val="10"/>
      <color rgb="FF000000"/>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7030A0"/>
        <bgColor indexed="64"/>
      </patternFill>
    </fill>
    <fill>
      <patternFill patternType="solid">
        <fgColor rgb="FFFFC000"/>
        <bgColor indexed="64"/>
      </patternFill>
    </fill>
    <fill>
      <patternFill patternType="solid">
        <fgColor rgb="FFD8D8D8"/>
        <bgColor indexed="64"/>
      </patternFill>
    </fill>
    <fill>
      <patternFill patternType="solid">
        <fgColor rgb="FF0000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alignment vertical="center"/>
    </xf>
  </cellStyleXfs>
  <cellXfs count="40">
    <xf numFmtId="0" fontId="0" fillId="0" borderId="0" xfId="0">
      <alignment vertical="center"/>
    </xf>
    <xf numFmtId="0" fontId="1"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vertical="center" wrapText="1"/>
    </xf>
    <xf numFmtId="0" fontId="4" fillId="0" borderId="0" xfId="0" applyFont="1" applyAlignment="1">
      <alignment vertical="center" wrapText="1"/>
    </xf>
    <xf numFmtId="0" fontId="5" fillId="2" borderId="0" xfId="0" applyFont="1" applyFill="1" applyAlignment="1">
      <alignment vertical="center" wrapText="1"/>
    </xf>
    <xf numFmtId="0" fontId="6" fillId="0" borderId="0" xfId="0" applyFont="1">
      <alignment vertical="center"/>
    </xf>
    <xf numFmtId="0" fontId="7" fillId="0" borderId="0" xfId="0" applyFont="1">
      <alignmen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8" fillId="0" borderId="0" xfId="0" applyFont="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1" fillId="0" borderId="0" xfId="0" applyFont="1">
      <alignment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8" fillId="7" borderId="1" xfId="0" applyFont="1" applyFill="1" applyBorder="1" applyAlignment="1">
      <alignment horizontal="center" vertical="center"/>
    </xf>
    <xf numFmtId="0" fontId="3" fillId="7" borderId="2" xfId="0" applyFont="1" applyFill="1" applyBorder="1" applyAlignment="1">
      <alignment horizontal="center" vertical="center"/>
    </xf>
    <xf numFmtId="0" fontId="3" fillId="7" borderId="3" xfId="0" applyFont="1" applyFill="1" applyBorder="1" applyAlignment="1">
      <alignment horizontal="center" vertical="center"/>
    </xf>
    <xf numFmtId="0" fontId="9" fillId="8" borderId="1" xfId="0" applyFont="1" applyFill="1" applyBorder="1" applyAlignment="1">
      <alignment horizontal="center" vertical="center"/>
    </xf>
    <xf numFmtId="0" fontId="9" fillId="8" borderId="2" xfId="0" applyFont="1" applyFill="1" applyBorder="1" applyAlignment="1">
      <alignment horizontal="center" vertical="center"/>
    </xf>
    <xf numFmtId="0" fontId="9" fillId="8" borderId="3" xfId="0" applyFont="1" applyFill="1" applyBorder="1" applyAlignment="1">
      <alignment horizontal="center" vertical="center"/>
    </xf>
    <xf numFmtId="0" fontId="3" fillId="0" borderId="0" xfId="0" applyFont="1">
      <alignment vertical="center"/>
    </xf>
    <xf numFmtId="0" fontId="10" fillId="0" borderId="0" xfId="0" applyFont="1">
      <alignment vertical="center"/>
    </xf>
    <xf numFmtId="0" fontId="3" fillId="0" borderId="0" xfId="0" applyFont="1" applyFill="1">
      <alignment vertical="center"/>
    </xf>
  </cellXfs>
  <cellStyles count="1">
    <cellStyle name="常规" xfId="0" builtinId="0"/>
  </cellStyles>
  <dxfs count="0"/>
  <tableStyles defaultTableStyle="TableStyleMedium2"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www.wps.cn/officeDocument/2020/cellImage" Target="cellimages.xml"/><Relationship Id="rId12" Type="http://schemas.openxmlformats.org/officeDocument/2006/relationships/sharedStrings" Target="sharedStrings.xml"/><Relationship Id="rId13" Type="http://schemas.openxmlformats.org/officeDocument/2006/relationships/styles" Target="styles.xml"/><Relationship Id="rId14" Type="http://schemas.openxmlformats.org/officeDocument/2006/relationships/theme" Target="theme/theme1.xml"/><Relationship Id="rId15" Type="http://schemas.openxmlformats.org/officeDocument/2006/relationships/customXml" Target="../customXml/item1.xml"/><Relationship Id="rId16" Type="http://schemas.openxmlformats.org/officeDocument/2006/relationships/customXml" Target="../customXml/item2.xml"/><Relationship Id="rId17" Type="http://schemas.openxmlformats.org/officeDocument/2006/relationships/customXml" Target="../customXml/item3.xml"/><Relationship Id="rId18"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0.png"/></Relationships>
</file>

<file path=xl/drawings/_rels/drawing2.xml.rels><?xml version="1.0" encoding="UTF-8" standalone="yes"?>
<Relationships xmlns="http://schemas.openxmlformats.org/package/2006/relationships"><Relationship Id="rId1" Type="http://schemas.openxmlformats.org/officeDocument/2006/relationships/image" Target="../media/image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2057020</xdr:colOff>
      <xdr:row>5</xdr:row>
      <xdr:rowOff>12055</xdr:rowOff>
    </xdr:from>
    <xdr:to>
      <xdr:col>0</xdr:col>
      <xdr:colOff>2893882</xdr:colOff>
      <xdr:row>5</xdr:row>
      <xdr:rowOff>304055</xdr:rowOff>
    </xdr:to>
    <xdr:pic>
      <xdr:nvPicPr>
        <xdr:cNvPr id="2" name="图片 1" descr="86956e2491c0a98bef3491b7fc93a236_720w"/>
        <xdr:cNvPicPr/>
      </xdr:nvPicPr>
      <xdr:blipFill>
        <a:blip xmlns:r="http://schemas.openxmlformats.org/officeDocument/2006/relationships" r:embed="rId1"/>
        <a:srcRect/>
        <a:stretch>
          <a:fillRect/>
        </a:stretch>
      </xdr:blipFill>
      <xdr:spPr>
        <a:xfrm>
          <a:off x="2066925" y="1247775"/>
          <a:ext cx="838200" cy="295275"/>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2057020</xdr:colOff>
      <xdr:row>5</xdr:row>
      <xdr:rowOff>12055</xdr:rowOff>
    </xdr:from>
    <xdr:to>
      <xdr:col>0</xdr:col>
      <xdr:colOff>2893882</xdr:colOff>
      <xdr:row>5</xdr:row>
      <xdr:rowOff>304055</xdr:rowOff>
    </xdr:to>
    <xdr:pic>
      <xdr:nvPicPr>
        <xdr:cNvPr id="2" name="图片 1" descr="86956e2491c0a98bef3491b7fc93a236_720w"/>
        <xdr:cNvPicPr/>
      </xdr:nvPicPr>
      <xdr:blipFill>
        <a:blip xmlns:r="http://schemas.openxmlformats.org/officeDocument/2006/relationships" r:embed="rId1"/>
        <a:srcRect/>
        <a:stretch>
          <a:fillRect/>
        </a:stretch>
      </xdr:blipFill>
      <xdr:spPr>
        <a:xfrm>
          <a:off x="2066925" y="1247775"/>
          <a:ext cx="838200" cy="295275"/>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dimension ref="A1:C22"/>
  <sheetViews>
    <sheetView workbookViewId="0">
      <selection activeCell="D8" sqref="D8"/>
    </sheetView>
  </sheetViews>
  <sheetFormatPr defaultRowHeight="13.5" defaultColWidth="9"/>
  <cols>
    <col min="1" max="1" customWidth="1" width="74.125" style="1"/>
  </cols>
  <sheetData>
    <row r="1" spans="8:8" ht="15.0">
      <c r="A1" s="2" t="s">
        <v>0</v>
      </c>
    </row>
    <row r="2" spans="8:8">
      <c r="A2" s="3" t="s">
        <v>1</v>
      </c>
    </row>
    <row r="3" spans="8:8" ht="27.0">
      <c r="A3" s="4" t="s">
        <v>2</v>
      </c>
    </row>
    <row r="4" spans="8:8" ht="27.0">
      <c r="A4" s="4" t="s">
        <v>3</v>
      </c>
    </row>
    <row r="6" spans="8:8" ht="27.0" customHeight="1"/>
    <row r="7" spans="8:8" ht="15.0">
      <c r="A7" s="2" t="s">
        <v>4</v>
      </c>
    </row>
    <row r="8" spans="8:8">
      <c r="A8" s="1" t="s">
        <v>5</v>
      </c>
    </row>
    <row r="10" spans="8:8" ht="16.5">
      <c r="A10" s="5" t="s">
        <v>6</v>
      </c>
    </row>
    <row r="11" spans="8:8">
      <c r="A11" s="1" t="s">
        <v>7</v>
      </c>
    </row>
    <row r="12" spans="8:8">
      <c r="A12" s="1" t="s">
        <v>8</v>
      </c>
    </row>
    <row r="13" spans="8:8">
      <c r="A13" s="1" t="s">
        <v>9</v>
      </c>
    </row>
    <row r="15" spans="8:8" ht="16.5">
      <c r="A15" s="5" t="s">
        <v>10</v>
      </c>
    </row>
    <row r="16" spans="8:8" ht="40.5">
      <c r="A16" s="1" t="s">
        <v>11</v>
      </c>
    </row>
    <row r="17" spans="8:8">
      <c r="A17" s="6" t="s">
        <v>12</v>
      </c>
    </row>
    <row r="18" spans="8:8" ht="27.0">
      <c r="A18" s="1" t="s">
        <v>13</v>
      </c>
    </row>
    <row r="20" spans="8:8" ht="16.5">
      <c r="A20" s="5" t="s">
        <v>14</v>
      </c>
    </row>
    <row r="21" spans="8:8" ht="27.0">
      <c r="A21" s="1" t="s">
        <v>15</v>
      </c>
    </row>
    <row r="22" spans="8:8" ht="27.0">
      <c r="A22" s="1" t="s">
        <v>16</v>
      </c>
    </row>
  </sheetData>
  <sheetProtection password="c53c" sheet="1" objects="1"/>
  <pageMargins left="0.75" right="0.75" top="1.0" bottom="1.0" header="0.5" footer="0.5"/>
  <drawing r:id="rId1"/>
</worksheet>
</file>

<file path=xl/worksheets/sheet2.xml><?xml version="1.0" encoding="utf-8"?>
<worksheet xmlns:r="http://schemas.openxmlformats.org/officeDocument/2006/relationships" xmlns="http://schemas.openxmlformats.org/spreadsheetml/2006/main">
  <dimension ref="A1:C22"/>
  <sheetViews>
    <sheetView tabSelected="1" workbookViewId="0" topLeftCell="A6" zoomScale="38">
      <selection activeCell="B18" sqref="B18"/>
    </sheetView>
  </sheetViews>
  <sheetFormatPr defaultRowHeight="13.5" defaultColWidth="9"/>
  <cols>
    <col min="1" max="1" customWidth="1" width="74.125" style="1"/>
  </cols>
  <sheetData>
    <row r="1" spans="8:8" ht="15.0">
      <c r="A1" s="2" t="s">
        <v>0</v>
      </c>
    </row>
    <row r="2" spans="8:8">
      <c r="A2" s="3" t="s">
        <v>1</v>
      </c>
    </row>
    <row r="3" spans="8:8" ht="27.0">
      <c r="A3" s="4" t="s">
        <v>2</v>
      </c>
    </row>
    <row r="4" spans="8:8" ht="27.0">
      <c r="A4" s="4" t="s">
        <v>3</v>
      </c>
    </row>
    <row r="6" spans="8:8" ht="27.0" customHeight="1"/>
    <row r="7" spans="8:8" ht="15.0">
      <c r="A7" s="2" t="s">
        <v>4</v>
      </c>
    </row>
    <row r="8" spans="8:8">
      <c r="A8" s="1" t="s">
        <v>5</v>
      </c>
    </row>
    <row r="10" spans="8:8" ht="16.5">
      <c r="A10" s="5" t="s">
        <v>6</v>
      </c>
    </row>
    <row r="11" spans="8:8">
      <c r="A11" s="1" t="s">
        <v>7</v>
      </c>
    </row>
    <row r="12" spans="8:8">
      <c r="A12" s="1" t="s">
        <v>8</v>
      </c>
    </row>
    <row r="13" spans="8:8">
      <c r="A13" s="1" t="s">
        <v>9</v>
      </c>
    </row>
    <row r="15" spans="8:8" ht="16.5">
      <c r="A15" s="5" t="s">
        <v>10</v>
      </c>
    </row>
    <row r="16" spans="8:8" ht="40.5">
      <c r="A16" s="1" t="s">
        <v>11</v>
      </c>
    </row>
    <row r="17" spans="8:8">
      <c r="A17" s="6" t="s">
        <v>12</v>
      </c>
    </row>
    <row r="18" spans="8:8" ht="27.0">
      <c r="A18" s="1" t="s">
        <v>13</v>
      </c>
    </row>
    <row r="20" spans="8:8" ht="16.5">
      <c r="A20" s="5" t="s">
        <v>14</v>
      </c>
    </row>
    <row r="21" spans="8:8" ht="27.0">
      <c r="A21" s="1" t="s">
        <v>15</v>
      </c>
    </row>
    <row r="22" spans="8:8" ht="27.0">
      <c r="A22" s="1" t="s">
        <v>16</v>
      </c>
    </row>
  </sheetData>
  <sheetProtection password="c53c" sheet="1" objects="1"/>
  <pageMargins left="0.75" right="0.75" top="1.0" bottom="1.0" header="0.5" footer="0.5"/>
  <drawing r:id="rId1"/>
</worksheet>
</file>

<file path=xl/worksheets/sheet3.xml><?xml version="1.0" encoding="utf-8"?>
<worksheet xmlns:r="http://schemas.openxmlformats.org/officeDocument/2006/relationships" xmlns="http://schemas.openxmlformats.org/spreadsheetml/2006/main">
  <dimension ref="A1:Q57"/>
  <sheetViews>
    <sheetView workbookViewId="0">
      <selection activeCell="I8" sqref="I8"/>
    </sheetView>
  </sheetViews>
  <sheetFormatPr defaultRowHeight="13.5" defaultColWidth="9"/>
  <cols>
    <col min="8" max="8" customWidth="1" width="9.375" style="0"/>
    <col min="14" max="14" customWidth="1" width="18.625" style="0"/>
    <col min="15" max="15" customWidth="1" width="150.375" style="0"/>
  </cols>
  <sheetData>
    <row r="1" spans="8:8" ht="15.0" customHeight="1">
      <c r="A1" s="7" t="s">
        <v>17</v>
      </c>
      <c r="B1" s="7" t="s">
        <v>18</v>
      </c>
      <c r="C1" s="7" t="s">
        <v>19</v>
      </c>
      <c r="E1" s="8"/>
      <c r="F1" s="8"/>
      <c r="G1" s="8"/>
      <c r="H1" s="8"/>
      <c r="I1" s="8"/>
      <c r="J1" s="8"/>
      <c r="L1" s="9" t="s">
        <v>20</v>
      </c>
      <c r="M1" s="10"/>
      <c r="N1" s="10"/>
      <c r="O1" s="11"/>
    </row>
    <row r="2" spans="8:8" ht="15.0" customHeight="1">
      <c r="A2" t="s">
        <v>21</v>
      </c>
      <c r="B2">
        <f>COUNTA(白卡!A:A)-1</f>
        <v>424.0</v>
      </c>
      <c r="C2" t="s">
        <v>22</v>
      </c>
      <c r="D2" s="12" t="s">
        <v>23</v>
      </c>
      <c r="E2" s="8"/>
      <c r="F2" s="8"/>
      <c r="G2" s="8"/>
      <c r="H2" s="8"/>
      <c r="I2" s="8"/>
      <c r="J2" s="8"/>
      <c r="L2" s="13" t="s">
        <v>24</v>
      </c>
      <c r="M2" t="s">
        <v>17</v>
      </c>
      <c r="N2" t="s">
        <v>25</v>
      </c>
      <c r="O2" s="14" t="s">
        <v>26</v>
      </c>
    </row>
    <row r="3" spans="8:8" ht="15.0" customHeight="1">
      <c r="A3" t="s">
        <v>27</v>
      </c>
      <c r="B3">
        <f>COUNTA(绿卡!A:A)-1</f>
        <v>601.0</v>
      </c>
      <c r="C3" t="s">
        <v>28</v>
      </c>
      <c r="D3" t="s">
        <v>29</v>
      </c>
      <c r="E3" s="8"/>
      <c r="F3" s="8"/>
      <c r="G3" s="8"/>
      <c r="H3" s="8"/>
      <c r="I3" s="8"/>
      <c r="J3" s="8"/>
      <c r="L3" s="13">
        <f>RANDBETWEEN(2,(LARGE(白卡!A:A,1)+1))</f>
        <v>72.0</v>
      </c>
      <c r="M3" t="s">
        <v>30</v>
      </c>
      <c r="N3" t="str">
        <f>IF(INDIRECT("白卡!B"&amp;(INDIRECT("$L$3")+1))="生物",INDIRECT("白卡!C"&amp;(INDIRECT("$L$3")+1)),"请刷新")</f>
        <v>请刷新</v>
      </c>
      <c r="O3" s="14" t="str">
        <f>IF(INDIRECT("白卡!B"&amp;(INDIRECT("$L$3")+1))="生物",IF(INDIRECT("白卡!D"&amp;(INDIRECT("$L$3")+1))&gt;0,INDIRECT("白卡!D"&amp;(INDIRECT("$L$3")+1)),"（无描述）"),"请刷新")</f>
        <v>请刷新</v>
      </c>
    </row>
    <row r="4" spans="8:8" ht="15.0" customHeight="1">
      <c r="A4" t="s">
        <v>31</v>
      </c>
      <c r="B4">
        <f>COUNTA(蓝卡!A:A)-1</f>
        <v>477.0</v>
      </c>
      <c r="C4" t="s">
        <v>32</v>
      </c>
      <c r="D4" t="s">
        <v>29</v>
      </c>
      <c r="E4" s="8"/>
      <c r="F4" s="8"/>
      <c r="G4" s="8"/>
      <c r="H4" s="8"/>
      <c r="I4" s="8"/>
      <c r="J4" s="8"/>
      <c r="L4" s="13">
        <f>RANDBETWEEN(2,(LARGE(白卡!A:A,1)+1))</f>
        <v>34.0</v>
      </c>
      <c r="M4" t="s">
        <v>33</v>
      </c>
      <c r="N4" t="str">
        <f>IF(INDIRECT("白卡!B"&amp;(INDIRECT("$L$3")+1))="器物",INDIRECT("白卡!C"&amp;(INDIRECT("$L$3")+1)),"请刷新")</f>
        <v>请刷新</v>
      </c>
      <c r="O4" s="14" t="str">
        <f>IF(INDIRECT("白卡!B"&amp;(INDIRECT("$L$3")+1))="器物",IF(INDIRECT("白卡!D"&amp;(INDIRECT("$L$3")+1))&gt;0,INDIRECT("白卡!D"&amp;(INDIRECT("$L$3")+1)),"（无描述）"),"请刷新")</f>
        <v>请刷新</v>
      </c>
    </row>
    <row r="5" spans="8:8" ht="15.0" customHeight="1">
      <c r="A5" t="s">
        <v>34</v>
      </c>
      <c r="B5">
        <f>COUNTA(紫卡!A:A)-1</f>
        <v>231.0</v>
      </c>
      <c r="C5" t="s">
        <v>35</v>
      </c>
      <c r="D5" t="s">
        <v>29</v>
      </c>
      <c r="E5" s="8"/>
      <c r="F5" s="8"/>
      <c r="G5" s="8"/>
      <c r="H5" s="8"/>
      <c r="I5" s="8"/>
      <c r="J5" s="8"/>
      <c r="L5" s="13">
        <f>RANDBETWEEN(2,(LARGE(白卡!A:A,1)+1))</f>
        <v>364.0</v>
      </c>
      <c r="M5" t="s">
        <v>36</v>
      </c>
      <c r="N5" t="str">
        <f>IF(INDIRECT("白卡!B"&amp;(INDIRECT("$L$3")+1))="场所",INDIRECT("白卡!C"&amp;(INDIRECT("$L$3")+1)),"请刷新")</f>
        <v>大规模林场</v>
      </c>
      <c r="O5" s="14" t="str">
        <f>IF(INDIRECT("白卡!B"&amp;(INDIRECT("$L$3")+1))="场所",IF(INDIRECT("白卡!D"&amp;(INDIRECT("$L$3")+1))&gt;0,INDIRECT("白卡!D"&amp;(INDIRECT("$L$3")+1)),"（无描述）"),"请刷新")</f>
        <v>（无描述）</v>
      </c>
    </row>
    <row r="6" spans="8:8" ht="15.0" customHeight="1">
      <c r="A6" t="s">
        <v>37</v>
      </c>
      <c r="B6">
        <f>COUNTA(橙卡!A:A)-1</f>
        <v>102.0</v>
      </c>
      <c r="C6" t="s">
        <v>38</v>
      </c>
      <c r="D6" t="s">
        <v>29</v>
      </c>
      <c r="E6" s="8"/>
      <c r="F6" s="8"/>
      <c r="G6" s="8"/>
      <c r="H6" s="8"/>
      <c r="I6" s="8"/>
      <c r="J6" s="8"/>
      <c r="L6" s="13">
        <f>RANDBETWEEN(2,(LARGE(白卡!A:A,1)+1))</f>
        <v>339.0</v>
      </c>
      <c r="M6" t="s">
        <v>39</v>
      </c>
      <c r="N6" t="str">
        <f>IF(INDIRECT("白卡!B"&amp;(INDIRECT("$L$3")+1))="事件",INDIRECT("白卡!C"&amp;(INDIRECT("$L$3")+1)),"请刷新")</f>
        <v>请刷新</v>
      </c>
      <c r="O6" s="14" t="str">
        <f>IF(INDIRECT("白卡!B"&amp;(INDIRECT("$L$3")+1))="事件",IF(INDIRECT("白卡!D"&amp;(INDIRECT("$L$3")+1))&gt;0,INDIRECT("白卡!D"&amp;(INDIRECT("$L$3")+1)),"（无描述）"),"请刷新")</f>
        <v>请刷新</v>
      </c>
    </row>
    <row r="7" spans="8:8" ht="15.0" customHeight="1">
      <c r="A7" t="s">
        <v>40</v>
      </c>
      <c r="B7">
        <f>COUNTA(虹卡!A:A)-1</f>
        <v>38.0</v>
      </c>
      <c r="C7" t="s">
        <v>41</v>
      </c>
      <c r="D7" t="s">
        <v>29</v>
      </c>
      <c r="E7" s="8"/>
      <c r="F7" s="8"/>
      <c r="G7" s="8"/>
      <c r="H7" s="8"/>
      <c r="I7" s="8"/>
      <c r="J7" s="8"/>
      <c r="L7" s="15">
        <f>RANDBETWEEN(2,(LARGE(白卡!A:A,1)+1))</f>
        <v>272.0</v>
      </c>
      <c r="M7" s="16" t="s">
        <v>42</v>
      </c>
      <c r="N7" s="16" t="str">
        <f>IF(INDIRECT("白卡!B"&amp;(INDIRECT("$L$3")+1))="概念",INDIRECT("白卡!C"&amp;(INDIRECT("$L$3")+1)),"请刷新")</f>
        <v>请刷新</v>
      </c>
      <c r="O7" s="17" t="str">
        <f>IF(INDIRECT("白卡!B"&amp;(INDIRECT("$L$3")+1))="概念",IF(INDIRECT("白卡!D"&amp;(INDIRECT("$L$3")+1))&gt;0,INDIRECT("白卡!D"&amp;(INDIRECT("$L$3")+1)),"（无描述）"),"请刷新")</f>
        <v>请刷新</v>
      </c>
    </row>
    <row r="8" spans="8:8" ht="15.0" customHeight="1">
      <c r="A8" t="s">
        <v>43</v>
      </c>
      <c r="B8">
        <f>COUNTA(黑卡!A:A)-1</f>
        <v>32.0</v>
      </c>
      <c r="E8" s="8"/>
      <c r="F8" s="8"/>
      <c r="G8" s="8"/>
      <c r="H8" s="8"/>
      <c r="I8" s="8"/>
      <c r="J8" s="8"/>
      <c r="L8" s="18" t="s">
        <v>44</v>
      </c>
      <c r="M8" s="19"/>
      <c r="N8" s="19"/>
      <c r="O8" s="20"/>
    </row>
    <row r="9" spans="8:8" ht="15.0" customHeight="1">
      <c r="A9" t="s">
        <v>45</v>
      </c>
      <c r="B9">
        <f>SUM(B2:B8)</f>
        <v>1905.0</v>
      </c>
      <c r="E9" s="8"/>
      <c r="F9" s="8"/>
      <c r="G9" s="8"/>
      <c r="H9" s="8"/>
      <c r="I9" s="8"/>
      <c r="J9" s="8"/>
      <c r="L9" s="13" t="s">
        <v>24</v>
      </c>
      <c r="M9" t="s">
        <v>17</v>
      </c>
      <c r="N9" t="s">
        <v>25</v>
      </c>
      <c r="O9" s="14" t="s">
        <v>26</v>
      </c>
    </row>
    <row r="10" spans="8:8" ht="15.0" customHeight="1">
      <c r="L10" s="13">
        <f>RANDBETWEEN(2,(LARGE(绿卡!A:A,1)+1))</f>
        <v>89.0</v>
      </c>
      <c r="M10" t="s">
        <v>30</v>
      </c>
      <c r="N10" t="str">
        <f>IF(INDIRECT("绿卡!B"&amp;(INDIRECT("$L$10")+1))="生物",INDIRECT("绿卡!C"&amp;(INDIRECT("$L$10")+1)),"请刷新")</f>
        <v>猎犬</v>
      </c>
      <c r="O10" s="14" t="str">
        <f>IF(INDIRECT("绿卡!B"&amp;(INDIRECT("$L$10")+1))="生物",IF(INDIRECT("绿卡!D"&amp;(INDIRECT("$L$10")+1))&gt;0,INDIRECT("绿卡!D"&amp;(INDIRECT("$L$10")+1)),"（无描述）"),"请刷新")</f>
        <v>神秘的调查员，他们愿意为未知的秘密付出一切。</v>
      </c>
    </row>
    <row r="11" spans="8:8" ht="15.0" customHeight="1">
      <c r="A11" s="7" t="s">
        <v>30</v>
      </c>
      <c r="B11">
        <f>COUNTIF(白卡!B:B,"生物")+COUNTIF(绿卡!B:B,"生物")+COUNTIF(蓝卡!B:B,"生物")+COUNTIF(紫卡!B:B,"生物")+COUNTIF(橙卡!B:B,"生物")+COUNTIF(虹卡!B:B,"生物")+COUNTIF(黑卡!B:B,"生物")</f>
        <v>359.0</v>
      </c>
      <c r="G11" s="7" t="s">
        <v>46</v>
      </c>
      <c r="H11" s="7" t="s">
        <v>47</v>
      </c>
      <c r="J11" s="7" t="s">
        <v>48</v>
      </c>
      <c r="L11" s="13">
        <f>RANDBETWEEN(2,(LARGE(绿卡!A:A,1)+1))</f>
        <v>349.0</v>
      </c>
      <c r="M11" t="s">
        <v>33</v>
      </c>
      <c r="N11" t="str">
        <f>IF(INDIRECT("绿卡!B"&amp;(INDIRECT("$L$11")+1))="器物",INDIRECT("绿卡!C"&amp;(INDIRECT("$L$11")+1)),"请刷新")</f>
        <v>请刷新</v>
      </c>
      <c r="O11" s="14" t="str">
        <f>IF(INDIRECT("绿卡!B"&amp;(INDIRECT("$L$11")+1))="器物",IF(INDIRECT("绿卡!D"&amp;(INDIRECT("$L$11")+1))&gt;0,INDIRECT("绿卡!D"&amp;(INDIRECT("$L$11")+1)),"（无描述）"),"请刷新")</f>
        <v>请刷新</v>
      </c>
    </row>
    <row r="12" spans="8:8" ht="15.0" customHeight="1">
      <c r="B12" t="s">
        <v>49</v>
      </c>
      <c r="C12">
        <f>COUNTIF(白卡!B:B,"生物")</f>
        <v>85.0</v>
      </c>
      <c r="D12" t="s">
        <v>35</v>
      </c>
      <c r="E12" s="12" t="s">
        <v>23</v>
      </c>
      <c r="G12" t="s">
        <v>50</v>
      </c>
      <c r="H12">
        <v>2.4584776E7</v>
      </c>
      <c r="J12" s="21" t="s">
        <v>51</v>
      </c>
      <c r="L12" s="13">
        <f>RANDBETWEEN(2,(LARGE(绿卡!A:A,1)+1))</f>
        <v>465.0</v>
      </c>
      <c r="M12" t="s">
        <v>36</v>
      </c>
      <c r="N12" t="str">
        <f>IF(INDIRECT("绿卡!B"&amp;(INDIRECT("$L$12")+1))="场所",INDIRECT("绿卡!C"&amp;(INDIRECT("$L$12")+1)),"请刷新")</f>
        <v>请刷新</v>
      </c>
      <c r="O12" s="14" t="str">
        <f>IF(INDIRECT("绿卡!B"&amp;(INDIRECT("$L$12")+1))="场所",IF(INDIRECT("绿卡!D"&amp;(INDIRECT("$L$12")+1))&gt;0,INDIRECT("绿卡!D"&amp;(INDIRECT("$L$12")+1)),"（无描述）"),"请刷新")</f>
        <v>请刷新</v>
      </c>
    </row>
    <row r="13" spans="8:8" ht="15.0" customHeight="1">
      <c r="B13" t="s">
        <v>52</v>
      </c>
      <c r="C13">
        <f>COUNTIF(绿卡!B:B,"生物")</f>
        <v>107.0</v>
      </c>
      <c r="D13" t="s">
        <v>53</v>
      </c>
      <c r="E13" t="s">
        <v>29</v>
      </c>
      <c r="G13" t="s">
        <v>54</v>
      </c>
      <c r="H13">
        <v>3.7839042E7</v>
      </c>
      <c r="J13" t="s">
        <v>55</v>
      </c>
      <c r="L13" s="13">
        <f>RANDBETWEEN(2,(LARGE(绿卡!A:A,1)+1))</f>
        <v>493.0</v>
      </c>
      <c r="M13" t="s">
        <v>39</v>
      </c>
      <c r="N13" t="str">
        <f>IF(INDIRECT("绿卡!B"&amp;(INDIRECT("$L$13")+1))="事件",INDIRECT("绿卡!C"&amp;(INDIRECT("$L$13")+1)),"请刷新")</f>
        <v>锻造</v>
      </c>
      <c r="O13" s="14" t="str">
        <f>IF(INDIRECT("绿卡!B"&amp;(INDIRECT("$L$13")+1))="事件",IF(INDIRECT("绿卡!D"&amp;(INDIRECT("$L$13")+1))&gt;0,INDIRECT("绿卡!D"&amp;(INDIRECT("$L$13")+1)),"（无描述）"),"请刷新")</f>
        <v>（无描述）</v>
      </c>
    </row>
    <row r="14" spans="8:8" ht="15.0" customHeight="1">
      <c r="B14" t="s">
        <v>56</v>
      </c>
      <c r="C14">
        <f>COUNTIF(蓝卡!B:B,"生物")</f>
        <v>93.0</v>
      </c>
      <c r="D14" t="s">
        <v>57</v>
      </c>
      <c r="E14" t="s">
        <v>29</v>
      </c>
      <c r="J14" t="s">
        <v>58</v>
      </c>
      <c r="L14" s="15">
        <f>RANDBETWEEN(2,(LARGE(绿卡!A:A,1)+1))</f>
        <v>363.0</v>
      </c>
      <c r="M14" s="16" t="s">
        <v>42</v>
      </c>
      <c r="N14" s="16" t="str">
        <f>IF(INDIRECT("绿卡!B"&amp;(INDIRECT("$L$14")+1))="概念",INDIRECT("绿卡!C"&amp;(INDIRECT("$L$14")+1)),"请刷新")</f>
        <v>请刷新</v>
      </c>
      <c r="O14" s="17" t="str">
        <f>IF(INDIRECT("绿卡!B"&amp;(INDIRECT("$L$14")+1))="概念",IF(INDIRECT("绿卡!D"&amp;(INDIRECT("$L$14")+1))&gt;0,INDIRECT("绿卡!D"&amp;(INDIRECT("$L$14")+1)),"（无描述）"),"请刷新")</f>
        <v>请刷新</v>
      </c>
    </row>
    <row r="15" spans="8:8" ht="15.0" customHeight="1">
      <c r="B15" t="s">
        <v>59</v>
      </c>
      <c r="C15">
        <f>COUNTIF(紫卡!B:B,"生物")</f>
        <v>43.0</v>
      </c>
      <c r="D15" t="s">
        <v>60</v>
      </c>
      <c r="E15" t="s">
        <v>29</v>
      </c>
      <c r="L15" s="22" t="s">
        <v>61</v>
      </c>
      <c r="M15" s="23"/>
      <c r="N15" s="23"/>
      <c r="O15" s="24"/>
    </row>
    <row r="16" spans="8:8" ht="15.0" customHeight="1">
      <c r="B16" t="s">
        <v>62</v>
      </c>
      <c r="C16">
        <f>COUNTIF(橙卡!B:B,"生物")</f>
        <v>13.0</v>
      </c>
      <c r="D16" t="s">
        <v>63</v>
      </c>
      <c r="E16" t="s">
        <v>29</v>
      </c>
      <c r="L16" s="13" t="s">
        <v>24</v>
      </c>
      <c r="M16" t="s">
        <v>17</v>
      </c>
      <c r="N16" t="s">
        <v>25</v>
      </c>
      <c r="O16" s="14" t="s">
        <v>26</v>
      </c>
    </row>
    <row r="17" spans="8:8" ht="15.0" customHeight="1">
      <c r="B17" t="s">
        <v>64</v>
      </c>
      <c r="C17">
        <f>COUNTIF(虹卡!B:B,"生物")</f>
        <v>4.0</v>
      </c>
      <c r="D17" t="s">
        <v>65</v>
      </c>
      <c r="E17" t="s">
        <v>29</v>
      </c>
      <c r="L17" s="13">
        <f>RANDBETWEEN(2,(LARGE(蓝卡!A:A,1)+1))</f>
        <v>4.0</v>
      </c>
      <c r="M17" t="s">
        <v>30</v>
      </c>
      <c r="N17" t="str">
        <f>IF(INDIRECT("蓝卡!B"&amp;(INDIRECT("$L$17")+1))="生物",INDIRECT("蓝卡!C"&amp;(INDIRECT("$L$17")+1)),"请刷新")</f>
        <v>请刷新</v>
      </c>
      <c r="O17" s="14" t="str">
        <f>IF(INDIRECT("蓝卡!B"&amp;(INDIRECT("$L$17")+1))="生物",IF(INDIRECT("蓝卡!D"&amp;(INDIRECT("$L$17")+1))&gt;0,INDIRECT("蓝卡!D"&amp;(INDIRECT("$L$17")+1)),"（无描述）"),"请刷新")</f>
        <v>请刷新</v>
      </c>
    </row>
    <row r="18" spans="8:8" ht="15.0" customHeight="1">
      <c r="B18" t="s">
        <v>66</v>
      </c>
      <c r="C18">
        <f>COUNTIF(黑卡!B:B,"生物")</f>
        <v>14.0</v>
      </c>
      <c r="L18" s="13">
        <f>RANDBETWEEN(2,(LARGE(蓝卡!A:A,1)+1))</f>
        <v>406.0</v>
      </c>
      <c r="M18" t="s">
        <v>33</v>
      </c>
      <c r="N18" t="str">
        <f>IF(INDIRECT("蓝卡!B"&amp;(INDIRECT("$L$18")+1))="器物",INDIRECT("蓝卡!C"&amp;(INDIRECT("$L$18")+1)),"请刷新")</f>
        <v>请刷新</v>
      </c>
      <c r="O18" s="14" t="str">
        <f>IF(INDIRECT("蓝卡!B"&amp;(INDIRECT("$L$18")+1))="器物",IF(INDIRECT("蓝卡!D"&amp;(INDIRECT("$L$18")+1))&gt;0,INDIRECT("蓝卡!D"&amp;(INDIRECT("$L$18")+1)),"（无描述）"),"请刷新")</f>
        <v>请刷新</v>
      </c>
    </row>
    <row r="19" spans="8:8" ht="15.0" customHeight="1">
      <c r="A19" s="7" t="s">
        <v>33</v>
      </c>
      <c r="B19">
        <f>COUNTIF(白卡!B:B,"器物")+COUNTIF(绿卡!B:B,"器物")+COUNTIF(蓝卡!B:B,"器物")+COUNTIF(紫卡!B:B,"器物")+COUNTIF(橙卡!B:B,"器物")+COUNTIF(虹卡!B:B,"器物")+COUNTIF(黑卡!B:B,"器物")</f>
        <v>257.0</v>
      </c>
      <c r="L19" s="13">
        <f>RANDBETWEEN(2,(LARGE(蓝卡!A:A,1)+1))</f>
        <v>249.0</v>
      </c>
      <c r="M19" t="s">
        <v>36</v>
      </c>
      <c r="N19" t="str">
        <f>IF(INDIRECT("蓝卡!B"&amp;(INDIRECT("$L$19")+1))="场所",INDIRECT("蓝卡!C"&amp;(INDIRECT("$L$19")+1)),"请刷新")</f>
        <v>请刷新</v>
      </c>
      <c r="O19" s="14" t="str">
        <f>IF(INDIRECT("蓝卡!B"&amp;(INDIRECT("$L$19")+1))="场所",IF(INDIRECT("蓝卡!D"&amp;(INDIRECT("$L$19")+1))&gt;0,INDIRECT("蓝卡!D"&amp;(INDIRECT("$L$19")+1)),"（无描述）"),"请刷新")</f>
        <v>请刷新</v>
      </c>
    </row>
    <row r="20" spans="8:8" ht="15.0" customHeight="1">
      <c r="B20" t="s">
        <v>67</v>
      </c>
      <c r="C20">
        <f>COUNTIF(白卡!B:B,"器物")</f>
        <v>72.0</v>
      </c>
      <c r="D20" t="s">
        <v>35</v>
      </c>
      <c r="E20" s="12" t="s">
        <v>23</v>
      </c>
      <c r="L20" s="13">
        <f>RANDBETWEEN(2,(LARGE(蓝卡!A:A,1)+1))</f>
        <v>357.0</v>
      </c>
      <c r="M20" t="s">
        <v>39</v>
      </c>
      <c r="N20" t="str">
        <f>IF(INDIRECT("蓝卡!B"&amp;(INDIRECT("$L$20")+1))="事件",INDIRECT("蓝卡!C"&amp;(INDIRECT("$L$20")+1)),"请刷新")</f>
        <v>请刷新</v>
      </c>
      <c r="O20" s="14" t="str">
        <f>IF(INDIRECT("蓝卡!B"&amp;(INDIRECT("$L$20")+1))="事件",IF(INDIRECT("蓝卡!D"&amp;(INDIRECT("$L$20")+1))&gt;0,INDIRECT("蓝卡!D"&amp;(INDIRECT("$L$20")+1)),"（无描述）"),"请刷新")</f>
        <v>请刷新</v>
      </c>
    </row>
    <row r="21" spans="8:8" ht="15.0" customHeight="1">
      <c r="B21" t="s">
        <v>68</v>
      </c>
      <c r="C21">
        <f>COUNTIF(绿卡!B:B,"器物")</f>
        <v>86.0</v>
      </c>
      <c r="D21" t="s">
        <v>53</v>
      </c>
      <c r="E21" t="s">
        <v>29</v>
      </c>
      <c r="L21" s="15">
        <f>RANDBETWEEN(2,(LARGE(蓝卡!A:A,1)+1))</f>
        <v>167.0</v>
      </c>
      <c r="M21" s="16" t="s">
        <v>42</v>
      </c>
      <c r="N21" s="16" t="str">
        <f>IF(INDIRECT("蓝卡!B"&amp;(INDIRECT("$L$21")+1))="概念",INDIRECT("蓝卡!C"&amp;(INDIRECT("$L$21")+1)),"请刷新")</f>
        <v>请刷新</v>
      </c>
      <c r="O21" s="17" t="str">
        <f>IF(INDIRECT("蓝卡!B"&amp;(INDIRECT("$L$21")+1))="概念",IF(INDIRECT("蓝卡!D"&amp;(INDIRECT("$L$21")+1))&gt;0,INDIRECT("蓝卡!D"&amp;(INDIRECT("$L$21")+1)),"（无描述）"),"请刷新")</f>
        <v>请刷新</v>
      </c>
    </row>
    <row r="22" spans="8:8" ht="15.0" customHeight="1">
      <c r="B22" t="s">
        <v>69</v>
      </c>
      <c r="C22">
        <f>COUNTIF(蓝卡!B:B,"器物")</f>
        <v>51.0</v>
      </c>
      <c r="D22" t="s">
        <v>57</v>
      </c>
      <c r="E22" t="s">
        <v>29</v>
      </c>
      <c r="L22" s="25" t="s">
        <v>70</v>
      </c>
      <c r="M22" s="26"/>
      <c r="N22" s="26"/>
      <c r="O22" s="27"/>
    </row>
    <row r="23" spans="8:8" ht="15.0" customHeight="1">
      <c r="B23" t="s">
        <v>71</v>
      </c>
      <c r="C23">
        <f>COUNTIF(紫卡!B:B,"器物")</f>
        <v>31.0</v>
      </c>
      <c r="D23" t="s">
        <v>60</v>
      </c>
      <c r="E23" t="s">
        <v>29</v>
      </c>
      <c r="L23" s="13" t="s">
        <v>24</v>
      </c>
      <c r="M23" t="s">
        <v>17</v>
      </c>
      <c r="N23" t="s">
        <v>25</v>
      </c>
      <c r="O23" s="14" t="s">
        <v>26</v>
      </c>
    </row>
    <row r="24" spans="8:8" ht="15.0" customHeight="1">
      <c r="B24" t="s">
        <v>72</v>
      </c>
      <c r="C24">
        <f>COUNTIF(橙卡!B:B,"器物")</f>
        <v>12.0</v>
      </c>
      <c r="D24" t="s">
        <v>63</v>
      </c>
      <c r="E24" t="s">
        <v>29</v>
      </c>
      <c r="L24" s="13">
        <f>RANDBETWEEN(2,(LARGE(紫卡!A:A,1)+1))</f>
        <v>226.0</v>
      </c>
      <c r="M24" t="s">
        <v>30</v>
      </c>
      <c r="N24" t="str">
        <f>IF(INDIRECT("紫卡!B"&amp;(INDIRECT("$L$24")+1))="生物",INDIRECT("紫卡!C"&amp;(INDIRECT("$L$24")+1)),"请刷新")</f>
        <v>请刷新</v>
      </c>
      <c r="O24" s="14" t="str">
        <f>IF(INDIRECT("紫卡!B"&amp;(INDIRECT("$L$24")+1))="生物",IF(INDIRECT("紫卡!D"&amp;(INDIRECT("$L$24")+1))&gt;0,INDIRECT("紫卡!D"&amp;(INDIRECT("$L$24")+1)),"（无描述）"),"请刷新")</f>
        <v>请刷新</v>
      </c>
    </row>
    <row r="25" spans="8:8" ht="15.0" customHeight="1">
      <c r="B25" t="s">
        <v>73</v>
      </c>
      <c r="C25">
        <f>COUNTIF(虹卡!B:B,"器物")</f>
        <v>4.0</v>
      </c>
      <c r="D25" t="s">
        <v>65</v>
      </c>
      <c r="E25" t="s">
        <v>29</v>
      </c>
      <c r="L25" s="13">
        <f>RANDBETWEEN(2,(LARGE(紫卡!A:A,1)+1))</f>
        <v>161.0</v>
      </c>
      <c r="M25" t="s">
        <v>33</v>
      </c>
      <c r="N25" t="str">
        <f>IF(INDIRECT("紫卡!B"&amp;(INDIRECT("$L$25")+1))="器物",INDIRECT("紫卡!C"&amp;(INDIRECT("$L$25")+1)),"请刷新")</f>
        <v>请刷新</v>
      </c>
      <c r="O25" s="14" t="str">
        <f>IF(INDIRECT("紫卡!B"&amp;(INDIRECT("$L$25")+1))="器物",IF(INDIRECT("紫卡!D"&amp;(INDIRECT("$L$25")+1))&gt;0,INDIRECT("紫卡!D"&amp;(INDIRECT("$L$25")+1)),"（无描述）"),"请刷新")</f>
        <v>请刷新</v>
      </c>
    </row>
    <row r="26" spans="8:8" ht="15.0" customHeight="1">
      <c r="B26" t="s">
        <v>74</v>
      </c>
      <c r="C26">
        <f>COUNTIF(黑卡!B:B,"器物")</f>
        <v>1.0</v>
      </c>
      <c r="L26" s="13">
        <f>RANDBETWEEN(2,(LARGE(紫卡!A:A,1)+1))</f>
        <v>25.0</v>
      </c>
      <c r="M26" t="s">
        <v>36</v>
      </c>
      <c r="N26" t="str">
        <f>IF(INDIRECT("紫卡!B"&amp;(INDIRECT("$L$26")+1))="场所",INDIRECT("紫卡!C"&amp;(INDIRECT("$L$26")+1)),"请刷新")</f>
        <v>请刷新</v>
      </c>
      <c r="O26" s="14" t="str">
        <f>IF(INDIRECT("紫卡!B"&amp;(INDIRECT("$L$26")+1))="场所",IF(INDIRECT("紫卡!D"&amp;(INDIRECT("$L$26")+1))&gt;0,INDIRECT("紫卡!D"&amp;(INDIRECT("$L$26")+1)),"（无描述）"),"请刷新")</f>
        <v>请刷新</v>
      </c>
    </row>
    <row r="27" spans="8:8" ht="15.0" customHeight="1">
      <c r="A27" s="7" t="s">
        <v>36</v>
      </c>
      <c r="B27">
        <f>COUNTIF(白卡!B:B,"场所")+COUNTIF(绿卡!B:B,"场所")+COUNTIF(蓝卡!B:B,"场所")+COUNTIF(紫卡!B:B,"场所")+COUNTIF(橙卡!B:B,"场所")+COUNTIF(虹卡!B:B,"场所")+COUNTIF(黑卡!B:B,"场所")</f>
        <v>305.0</v>
      </c>
      <c r="L27" s="13">
        <f>RANDBETWEEN(2,(LARGE(紫卡!A:A,1)+1))</f>
        <v>141.0</v>
      </c>
      <c r="M27" t="s">
        <v>39</v>
      </c>
      <c r="N27" t="str">
        <f>IF(INDIRECT("紫卡!B"&amp;(INDIRECT("$L$27")+1))="事件",INDIRECT("紫卡!C"&amp;(INDIRECT("$L$27")+1)),"请刷新")</f>
        <v>请刷新</v>
      </c>
      <c r="O27" s="14" t="str">
        <f>IF(INDIRECT("紫卡!B"&amp;(INDIRECT("$L$27")+1))="事件",IF(INDIRECT("紫卡!D"&amp;(INDIRECT("$L$27")+1))&gt;0,INDIRECT("紫卡!D"&amp;(INDIRECT("$L$27")+1)),"（无描述）"),"请刷新")</f>
        <v>请刷新</v>
      </c>
    </row>
    <row r="28" spans="8:8" ht="15.0" customHeight="1">
      <c r="B28" t="s">
        <v>75</v>
      </c>
      <c r="C28">
        <f>COUNTIF(白卡!B:B,"场所")</f>
        <v>84.0</v>
      </c>
      <c r="D28" t="s">
        <v>35</v>
      </c>
      <c r="E28" s="12" t="s">
        <v>23</v>
      </c>
      <c r="L28" s="15">
        <f>RANDBETWEEN(2,(LARGE(紫卡!A:A,1)+1))</f>
        <v>161.0</v>
      </c>
      <c r="M28" s="16" t="s">
        <v>42</v>
      </c>
      <c r="N28" s="16" t="str">
        <f>IF(INDIRECT("紫卡!B"&amp;(INDIRECT("$L$28")+1))="概念",INDIRECT("紫卡!C"&amp;(INDIRECT("$L$28")+1)),"请刷新")</f>
        <v>请刷新</v>
      </c>
      <c r="O28" s="17" t="str">
        <f>IF(INDIRECT("紫卡!B"&amp;(INDIRECT("$L$28")+1))="概念",IF(INDIRECT("紫卡!D"&amp;(INDIRECT("$L$28")+1))&gt;0,INDIRECT("紫卡!D"&amp;(INDIRECT("$L$28")+1)),"（无描述）"),"请刷新")</f>
        <v>请刷新</v>
      </c>
    </row>
    <row r="29" spans="8:8" ht="15.0" customHeight="1">
      <c r="B29" t="s">
        <v>76</v>
      </c>
      <c r="C29">
        <f>COUNTIF(绿卡!B:B,"场所")</f>
        <v>49.0</v>
      </c>
      <c r="D29" t="s">
        <v>53</v>
      </c>
      <c r="L29" s="28" t="s">
        <v>77</v>
      </c>
      <c r="M29" s="29"/>
      <c r="N29" s="29"/>
      <c r="O29" s="30"/>
    </row>
    <row r="30" spans="8:8" ht="15.0" customHeight="1">
      <c r="B30" t="s">
        <v>78</v>
      </c>
      <c r="C30">
        <f>COUNTIF(蓝卡!B:B,"场所")</f>
        <v>115.0</v>
      </c>
      <c r="D30" t="s">
        <v>57</v>
      </c>
      <c r="E30" t="s">
        <v>29</v>
      </c>
      <c r="L30" s="13" t="s">
        <v>24</v>
      </c>
      <c r="M30" t="s">
        <v>17</v>
      </c>
      <c r="N30" t="s">
        <v>25</v>
      </c>
      <c r="O30" s="14" t="s">
        <v>26</v>
      </c>
    </row>
    <row r="31" spans="8:8" ht="15.0" customHeight="1">
      <c r="B31" t="s">
        <v>79</v>
      </c>
      <c r="C31">
        <f>COUNTIF(紫卡!B:B,"场所")</f>
        <v>28.0</v>
      </c>
      <c r="D31" t="s">
        <v>60</v>
      </c>
      <c r="E31" t="s">
        <v>29</v>
      </c>
      <c r="L31" s="13">
        <f>RANDBETWEEN(2,(LARGE(橙卡!A:A,1)+1))</f>
        <v>25.0</v>
      </c>
      <c r="M31" t="s">
        <v>30</v>
      </c>
      <c r="N31" t="str">
        <f>IF(INDIRECT("橙卡!B"&amp;(INDIRECT("$L$31")+1))="生物",INDIRECT("橙卡!C"&amp;(INDIRECT("$L$31")+1)),"请刷新")</f>
        <v>请刷新</v>
      </c>
      <c r="O31" s="14" t="str">
        <f>IF(INDIRECT("橙卡!B"&amp;(INDIRECT("$L$31")+1))="生物",IF(INDIRECT("橙卡!D"&amp;(INDIRECT("$L$31")+1))&gt;0,INDIRECT("橙卡!D"&amp;(INDIRECT("$L$31")+1)),"（无描述）"),"请刷新")</f>
        <v>请刷新</v>
      </c>
    </row>
    <row r="32" spans="8:8" ht="15.0" customHeight="1">
      <c r="B32" t="s">
        <v>80</v>
      </c>
      <c r="C32">
        <f>COUNTIF(橙卡!B:B,"场所")</f>
        <v>9.0</v>
      </c>
      <c r="D32" t="s">
        <v>63</v>
      </c>
      <c r="L32" s="13">
        <f>RANDBETWEEN(2,(LARGE(橙卡!A:A,1)+1))</f>
        <v>3.0</v>
      </c>
      <c r="M32" t="s">
        <v>33</v>
      </c>
      <c r="N32" t="str">
        <f>IF(INDIRECT("橙卡!B"&amp;(INDIRECT("$L$32")+1))="器物",INDIRECT("橙卡!C"&amp;(INDIRECT("$L$32")+1)),"请刷新")</f>
        <v>请刷新</v>
      </c>
      <c r="O32" s="14" t="str">
        <f>IF(INDIRECT("橙卡!B"&amp;(INDIRECT("$L$32")+1))="器物",IF(INDIRECT("橙卡!D"&amp;(INDIRECT("$L$32")+1))&gt;0,INDIRECT("橙卡!D"&amp;(INDIRECT("$L$32")+1)),"（无描述）"),"请刷新")</f>
        <v>请刷新</v>
      </c>
    </row>
    <row r="33" spans="8:8" ht="15.0" customHeight="1">
      <c r="B33" t="s">
        <v>81</v>
      </c>
      <c r="C33">
        <f>COUNTIF(虹卡!B:B,"场所")</f>
        <v>14.0</v>
      </c>
      <c r="D33" t="s">
        <v>65</v>
      </c>
      <c r="E33" t="s">
        <v>29</v>
      </c>
      <c r="L33" s="13">
        <f>RANDBETWEEN(2,(LARGE(橙卡!A:A,1)+1))</f>
        <v>7.0</v>
      </c>
      <c r="M33" t="s">
        <v>36</v>
      </c>
      <c r="N33" t="str">
        <f>IF(INDIRECT("橙卡!B"&amp;(INDIRECT("$L$33")+1))="场所",INDIRECT("橙卡!C"&amp;(INDIRECT("$L$33")+1)),"请刷新")</f>
        <v>请刷新</v>
      </c>
      <c r="O33" s="14" t="str">
        <f>IF(INDIRECT("橙卡!B"&amp;(INDIRECT("$L$33")+1))="场所",IF(INDIRECT("橙卡!D"&amp;(INDIRECT("$L$33")+1))&gt;0,INDIRECT("橙卡!D"&amp;(INDIRECT("$L$33")+1)),"（无描述）"),"请刷新")</f>
        <v>请刷新</v>
      </c>
    </row>
    <row r="34" spans="8:8" ht="15.0" customHeight="1">
      <c r="B34" t="s">
        <v>82</v>
      </c>
      <c r="C34">
        <f>COUNTIF(黑卡!B:B,"场所")</f>
        <v>6.0</v>
      </c>
      <c r="L34" s="13">
        <f>RANDBETWEEN(2,(LARGE(橙卡!A:A,1)+1))</f>
        <v>15.0</v>
      </c>
      <c r="M34" t="s">
        <v>39</v>
      </c>
      <c r="N34" t="str">
        <f>IF(INDIRECT("橙卡!B"&amp;(INDIRECT("$L$34")+1))="事件",INDIRECT("橙卡!C"&amp;(INDIRECT("$L$34")+1)),"请刷新")</f>
        <v>神秘回归</v>
      </c>
      <c r="O34" s="14" t="str">
        <f>IF(INDIRECT("橙卡!B"&amp;(INDIRECT("$L$34")+1))="事件",IF(INDIRECT("橙卡!D"&amp;(INDIRECT("$L$34")+1))&gt;0,INDIRECT("橙卡!D"&amp;(INDIRECT("$L$34")+1)),"（无描述）"),"请刷新")</f>
        <v>祂们回来了，剩下的不过都是副产品。</v>
      </c>
    </row>
    <row r="35" spans="8:8" ht="15.0" customHeight="1">
      <c r="A35" s="7" t="s">
        <v>39</v>
      </c>
      <c r="B35">
        <f>COUNTIF(白卡!B:B,"事件")+COUNTIF(绿卡!B:B,"事件")+COUNTIF(蓝卡!B:B,"事件")+COUNTIF(紫卡!B:B,"事件")+COUNTIF(橙卡!B:B,"事件")+COUNTIF(虹卡!B:B,"事件")+COUNTIF(黑卡!B:B,"事件")</f>
        <v>524.0</v>
      </c>
      <c r="L35" s="15">
        <f>RANDBETWEEN(2,(LARGE(橙卡!A:A,1)+1))</f>
        <v>39.0</v>
      </c>
      <c r="M35" s="16" t="s">
        <v>42</v>
      </c>
      <c r="N35" s="16" t="str">
        <f>IF(INDIRECT("橙卡!B"&amp;(INDIRECT("$L$35")+1))="概念",INDIRECT("橙卡!C"&amp;(INDIRECT("$L$35")+1)),"请刷新")</f>
        <v>请刷新</v>
      </c>
      <c r="O35" s="17" t="str">
        <f>IF(INDIRECT("橙卡!B"&amp;(INDIRECT("$L$35")+1))="概念",IF(INDIRECT("橙卡!D"&amp;(INDIRECT("$L$35")+1))&gt;0,INDIRECT("橙卡!D"&amp;(INDIRECT("$L$35")+1)),"（无描述）"),"请刷新")</f>
        <v>请刷新</v>
      </c>
    </row>
    <row r="36" spans="8:8" ht="15.0" customHeight="1">
      <c r="B36" t="s">
        <v>83</v>
      </c>
      <c r="C36">
        <f>COUNTIF(白卡!B:B,"事件")</f>
        <v>89.0</v>
      </c>
      <c r="D36" t="s">
        <v>35</v>
      </c>
      <c r="E36" s="12" t="s">
        <v>23</v>
      </c>
      <c r="L36" s="31" t="s">
        <v>84</v>
      </c>
      <c r="M36" s="32"/>
      <c r="N36" s="32"/>
      <c r="O36" s="33"/>
    </row>
    <row r="37" spans="8:8" ht="15.0" customHeight="1">
      <c r="B37" t="s">
        <v>85</v>
      </c>
      <c r="C37">
        <f>COUNTIF(绿卡!B:B,"事件")</f>
        <v>177.0</v>
      </c>
      <c r="D37" t="s">
        <v>53</v>
      </c>
      <c r="E37" t="s">
        <v>29</v>
      </c>
      <c r="L37" s="13" t="s">
        <v>24</v>
      </c>
      <c r="M37" t="s">
        <v>17</v>
      </c>
      <c r="N37" t="s">
        <v>25</v>
      </c>
      <c r="O37" s="14" t="s">
        <v>26</v>
      </c>
    </row>
    <row r="38" spans="8:8" ht="15.0" customHeight="1">
      <c r="B38" t="s">
        <v>86</v>
      </c>
      <c r="C38">
        <f>COUNTIF(蓝卡!B:B,"事件")</f>
        <v>127.0</v>
      </c>
      <c r="D38" t="s">
        <v>57</v>
      </c>
      <c r="E38" t="s">
        <v>29</v>
      </c>
      <c r="L38" s="13">
        <f>RANDBETWEEN(2,(LARGE(虹卡!A:A,1)+1))</f>
        <v>10.0</v>
      </c>
      <c r="M38" t="s">
        <v>30</v>
      </c>
      <c r="N38" t="str">
        <f>IF(INDIRECT("虹卡!B"&amp;(INDIRECT("$L$38")+1))="生物",INDIRECT("虹卡!C"&amp;(INDIRECT("$L$38")+1)),"请刷新")</f>
        <v>圣子</v>
      </c>
      <c r="O38" s="14" t="str">
        <f>IF(INDIRECT("虹卡!B"&amp;(INDIRECT("$L$38")+1))="生物",IF(INDIRECT("虹卡!D"&amp;(INDIRECT("$L$38")+1))&gt;0,INDIRECT("虹卡!D"&amp;(INDIRECT("$L$38")+1)),"（无描述）"),"请刷新")</f>
        <v>祂来了。</v>
      </c>
    </row>
    <row r="39" spans="8:8" ht="15.0" customHeight="1">
      <c r="B39" t="s">
        <v>87</v>
      </c>
      <c r="C39">
        <f>COUNTIF(紫卡!B:B,"事件")</f>
        <v>73.0</v>
      </c>
      <c r="D39" t="s">
        <v>60</v>
      </c>
      <c r="E39" t="s">
        <v>29</v>
      </c>
      <c r="L39" s="13">
        <f>RANDBETWEEN(2,(LARGE(虹卡!A:A,1)+1))</f>
        <v>14.0</v>
      </c>
      <c r="M39" t="s">
        <v>33</v>
      </c>
      <c r="N39" t="str">
        <f>IF(INDIRECT("虹卡!B"&amp;(INDIRECT("$L$39")+1))="器物",INDIRECT("虹卡!C"&amp;(INDIRECT("$L$39")+1)),"请刷新")</f>
        <v>请刷新</v>
      </c>
      <c r="O39" s="14" t="str">
        <f>IF(INDIRECT("虹卡!B"&amp;(INDIRECT("$L$39")+1))="器物",IF(INDIRECT("虹卡!D"&amp;(INDIRECT("$L$39")+1))&gt;0,INDIRECT("虹卡!D"&amp;(INDIRECT("$L$39")+1)),"（无描述）"),"请刷新")</f>
        <v>请刷新</v>
      </c>
    </row>
    <row r="40" spans="8:8" ht="15.0" customHeight="1">
      <c r="B40" t="s">
        <v>88</v>
      </c>
      <c r="C40">
        <f>COUNTIF(橙卡!B:B,"事件")</f>
        <v>43.0</v>
      </c>
      <c r="D40" t="s">
        <v>63</v>
      </c>
      <c r="E40" t="s">
        <v>29</v>
      </c>
      <c r="L40" s="13">
        <f>RANDBETWEEN(2,(LARGE(虹卡!A:A,1)+1))</f>
        <v>2.0</v>
      </c>
      <c r="M40" t="s">
        <v>36</v>
      </c>
      <c r="N40" t="str">
        <f>IF(INDIRECT("虹卡!B"&amp;(INDIRECT("$L$40")+1))="场所",INDIRECT("虹卡!C"&amp;(INDIRECT("$L$40")+1)),"请刷新")</f>
        <v>下北泽</v>
      </c>
      <c r="O40" s="14" t="str">
        <f>IF(INDIRECT("虹卡!B"&amp;(INDIRECT("$L$40")+1))="场所",IF(INDIRECT("虹卡!D"&amp;(INDIRECT("$L$40")+1))&gt;0,INDIRECT("虹卡!D"&amp;(INDIRECT("$L$40")+1)),"（无描述）"),"请刷新")</f>
        <v>这里，大概就是希望开始的地方吧……！</v>
      </c>
    </row>
    <row r="41" spans="8:8" ht="15.0" customHeight="1">
      <c r="B41" t="s">
        <v>89</v>
      </c>
      <c r="C41">
        <f>COUNTIF(虹卡!B:B,"事件")</f>
        <v>8.0</v>
      </c>
      <c r="D41" t="s">
        <v>65</v>
      </c>
      <c r="E41" t="s">
        <v>29</v>
      </c>
      <c r="L41" s="13">
        <f>RANDBETWEEN(2,(LARGE(虹卡!A:A,1)+1))</f>
        <v>24.0</v>
      </c>
      <c r="M41" t="s">
        <v>39</v>
      </c>
      <c r="N41" t="str">
        <f>IF(INDIRECT("虹卡!B"&amp;(INDIRECT("$L$41")+1))="事件",INDIRECT("虹卡!C"&amp;(INDIRECT("$L$41")+1)),"请刷新")</f>
        <v>请刷新</v>
      </c>
      <c r="O41" s="14" t="str">
        <f>IF(INDIRECT("虹卡!B"&amp;(INDIRECT("$L$41")+1))="事件",IF(INDIRECT("虹卡!D"&amp;(INDIRECT("$L$41")+1))&gt;0,INDIRECT("虹卡!D"&amp;(INDIRECT("$L$41")+1)),"（无描述）"),"请刷新")</f>
        <v>请刷新</v>
      </c>
    </row>
    <row r="42" spans="8:8" ht="15.0" customHeight="1">
      <c r="B42" t="s">
        <v>90</v>
      </c>
      <c r="C42">
        <f>COUNTIF(黑卡!B:B,"事件")</f>
        <v>7.0</v>
      </c>
      <c r="L42" s="15">
        <f>RANDBETWEEN(2,(LARGE(虹卡!A:A,1)+1))</f>
        <v>17.0</v>
      </c>
      <c r="M42" s="16" t="s">
        <v>42</v>
      </c>
      <c r="N42" s="16" t="str">
        <f>IF(INDIRECT("虹卡!B"&amp;(INDIRECT("$L$42")+1))="概念",INDIRECT("虹卡!C"&amp;(INDIRECT("$L$42")+1)),"请刷新")</f>
        <v>请刷新</v>
      </c>
      <c r="O42" s="17" t="str">
        <f>IF(INDIRECT("虹卡!B"&amp;(INDIRECT("$L$42")+1))="概念",IF(INDIRECT("虹卡!D"&amp;(INDIRECT("$L$42")+1))&gt;0,INDIRECT("虹卡!D"&amp;(INDIRECT("$L$42")+1)),"（无描述）"),"请刷新")</f>
        <v>请刷新</v>
      </c>
    </row>
    <row r="43" spans="8:8" ht="15.0" customHeight="1">
      <c r="A43" s="7" t="s">
        <v>42</v>
      </c>
      <c r="B43">
        <f>COUNTIF(白卡!B:B,"概念")+COUNTIF(绿卡!B:B,"概念")+COUNTIF(蓝卡!B:B,"概念")+COUNTIF(紫卡!B:B,"概念")+COUNTIF(橙卡!B:B,"概念")+COUNTIF(虹卡!B:B,"概念")+COUNTIF(黑卡!B:B,"概念")</f>
        <v>460.0</v>
      </c>
      <c r="L43" s="34" t="s">
        <v>91</v>
      </c>
      <c r="M43" s="35"/>
      <c r="N43" s="35"/>
      <c r="O43" s="36"/>
    </row>
    <row r="44" spans="8:8" ht="15.0" customHeight="1">
      <c r="B44" t="s">
        <v>92</v>
      </c>
      <c r="C44">
        <f>COUNTIF(白卡!B:B,"概念")</f>
        <v>94.0</v>
      </c>
      <c r="D44" t="s">
        <v>35</v>
      </c>
      <c r="E44" s="12" t="s">
        <v>93</v>
      </c>
      <c r="L44" s="13" t="s">
        <v>24</v>
      </c>
      <c r="M44" t="s">
        <v>17</v>
      </c>
      <c r="N44" t="s">
        <v>25</v>
      </c>
      <c r="O44" s="14" t="s">
        <v>26</v>
      </c>
    </row>
    <row r="45" spans="8:8" ht="15.0" customHeight="1">
      <c r="B45" t="s">
        <v>94</v>
      </c>
      <c r="C45">
        <f>COUNTIF(绿卡!B:B,"概念")</f>
        <v>182.0</v>
      </c>
      <c r="D45" t="s">
        <v>53</v>
      </c>
      <c r="E45" t="s">
        <v>29</v>
      </c>
      <c r="L45" s="13">
        <f>RANDBETWEEN(2,(LARGE(黑卡!A:A,1)+1))</f>
        <v>15.0</v>
      </c>
      <c r="M45" t="s">
        <v>30</v>
      </c>
      <c r="N45" t="str">
        <f>IF(INDIRECT("黑卡!B"&amp;(INDIRECT("$L$45")+1))="生物",INDIRECT("黑卡!C"&amp;(INDIRECT("$L$45")+1)),"请刷新")</f>
        <v>请刷新</v>
      </c>
      <c r="O45" s="14" t="str">
        <f>IF(INDIRECT("黑卡!B"&amp;(INDIRECT("$L$45")+1))="生物",IF(INDIRECT("黑卡!D"&amp;(INDIRECT("$L$45")+1))&gt;0,INDIRECT("黑卡!D"&amp;(INDIRECT("$L$45")+1)),"（无描述）"),"请刷新")</f>
        <v>请刷新</v>
      </c>
    </row>
    <row r="46" spans="8:8" ht="15.0" customHeight="1">
      <c r="B46" t="s">
        <v>95</v>
      </c>
      <c r="C46">
        <f>COUNTIF(蓝卡!B:B,"概念")</f>
        <v>91.0</v>
      </c>
      <c r="D46" t="s">
        <v>57</v>
      </c>
      <c r="E46" t="s">
        <v>29</v>
      </c>
      <c r="L46" s="13">
        <f>RANDBETWEEN(2,(LARGE(黑卡!A:A,1)+1))</f>
        <v>20.0</v>
      </c>
      <c r="M46" t="s">
        <v>33</v>
      </c>
      <c r="N46" t="str">
        <f>IF(INDIRECT("黑卡!B"&amp;(INDIRECT("$L$46")+1))="器物",INDIRECT("黑卡!C"&amp;(INDIRECT("$L$46")+1)),"请刷新")</f>
        <v>请刷新</v>
      </c>
      <c r="O46" s="14" t="str">
        <f>IF(INDIRECT("黑卡!B"&amp;(INDIRECT("$L$46")+1))="器物",IF(INDIRECT("黑卡!D"&amp;(INDIRECT("$L$46")+1))&gt;0,INDIRECT("黑卡!D"&amp;(INDIRECT("$L$46")+1)),"（无描述）"),"请刷新")</f>
        <v>请刷新</v>
      </c>
    </row>
    <row r="47" spans="8:8" ht="15.0" customHeight="1">
      <c r="B47" t="s">
        <v>96</v>
      </c>
      <c r="C47">
        <f>COUNTIF(紫卡!B:B,"概念")</f>
        <v>56.0</v>
      </c>
      <c r="D47" t="s">
        <v>60</v>
      </c>
      <c r="E47" t="s">
        <v>29</v>
      </c>
      <c r="L47" s="13">
        <f>RANDBETWEEN(2,(LARGE(黑卡!A:A,1)+1))</f>
        <v>15.0</v>
      </c>
      <c r="M47" t="s">
        <v>36</v>
      </c>
      <c r="N47" t="str">
        <f>IF(INDIRECT("黑卡!B"&amp;(INDIRECT("$L$47")+1))="场所",INDIRECT("黑卡!C"&amp;(INDIRECT("$L$47")+1)),"请刷新")</f>
        <v>锁妖塔</v>
      </c>
      <c r="O47" s="14" t="str">
        <f>IF(INDIRECT("黑卡!B"&amp;(INDIRECT("$L$47")+1))="场所",IF(INDIRECT("黑卡!D"&amp;(INDIRECT("$L$47")+1))&gt;0,INDIRECT("黑卡!D"&amp;(INDIRECT("$L$47")+1)),"（无描述）"),"请刷新")</f>
        <v>世间之诸邪并聚，万物之首恶共存。</v>
      </c>
    </row>
    <row r="48" spans="8:8" ht="15.0" customHeight="1">
      <c r="B48" t="s">
        <v>97</v>
      </c>
      <c r="C48">
        <f>COUNTIF(橙卡!B:B,"概念")</f>
        <v>25.0</v>
      </c>
      <c r="D48" t="s">
        <v>63</v>
      </c>
      <c r="E48" t="s">
        <v>29</v>
      </c>
      <c r="L48" s="13">
        <f>RANDBETWEEN(2,(LARGE(黑卡!A:A,1)+1))</f>
        <v>3.0</v>
      </c>
      <c r="M48" t="s">
        <v>39</v>
      </c>
      <c r="N48" t="str">
        <f>IF(INDIRECT("黑卡!B"&amp;(INDIRECT("$L$48")+1))="事件",INDIRECT("黑卡!C"&amp;(INDIRECT("$L$48")+1)),"请刷新")</f>
        <v>请刷新</v>
      </c>
      <c r="O48" s="14" t="str">
        <f>IF(INDIRECT("黑卡!B"&amp;(INDIRECT("$L$48")+1))="事件",IF(INDIRECT("黑卡!D"&amp;(INDIRECT("$L$48")+1))&gt;0,INDIRECT("黑卡!D"&amp;(INDIRECT("$L$48")+1)),"（无描述）"),"请刷新")</f>
        <v>请刷新</v>
      </c>
    </row>
    <row r="49" spans="8:8" ht="15.0" customHeight="1">
      <c r="B49" t="s">
        <v>98</v>
      </c>
      <c r="C49">
        <f>COUNTIF(虹卡!B:B,"概念")</f>
        <v>8.0</v>
      </c>
      <c r="D49" t="s">
        <v>65</v>
      </c>
      <c r="E49" t="s">
        <v>29</v>
      </c>
      <c r="L49" s="15">
        <f>RANDBETWEEN(2,(LARGE(黑卡!A:A,1)+1))</f>
        <v>28.0</v>
      </c>
      <c r="M49" s="16" t="s">
        <v>42</v>
      </c>
      <c r="N49" s="16" t="str">
        <f>IF(INDIRECT("黑卡!B"&amp;(INDIRECT("$L$49")+1))="概念",INDIRECT("黑卡!C"&amp;(INDIRECT("$L$49")+1)),"请刷新")</f>
        <v>请刷新</v>
      </c>
      <c r="O49" s="17" t="str">
        <f>IF(INDIRECT("黑卡!B"&amp;(INDIRECT("$L$49")+1))="概念",IF(INDIRECT("黑卡!D"&amp;(INDIRECT("$L$49")+1))&gt;0,INDIRECT("黑卡!D"&amp;(INDIRECT("$L$49")+1)),"（无描述）"),"请刷新")</f>
        <v>请刷新</v>
      </c>
    </row>
    <row r="50" spans="8:8">
      <c r="B50" t="s">
        <v>99</v>
      </c>
      <c r="C50">
        <f>COUNTIF(黑卡!B:B,"概念")</f>
        <v>4.0</v>
      </c>
    </row>
    <row r="52" spans="8:8">
      <c r="L52" t="s">
        <v>100</v>
      </c>
      <c r="M52">
        <f>LARGE(白卡!A:A,1)</f>
        <v>424.0</v>
      </c>
    </row>
    <row r="53" spans="8:8">
      <c r="L53" t="s">
        <v>101</v>
      </c>
      <c r="M53">
        <f>RANDBETWEEN(2,(LARGE(白卡!A:A,1)+1))-1</f>
        <v>180.0</v>
      </c>
    </row>
    <row r="54" spans="8:8">
      <c r="L54" t="s">
        <v>102</v>
      </c>
      <c r="M54" t="str">
        <f>INDIRECT("白卡!B"&amp;INDIRECT("$L$3"))</f>
        <v>概念</v>
      </c>
      <c r="N54" t="str">
        <f>IF(INDIRECT("白卡!B"&amp;INDIRECT("$L$3"))="生物",$L$3,"刷新")</f>
        <v>刷新</v>
      </c>
    </row>
    <row r="55" spans="8:8">
      <c r="L55" t="s">
        <v>103</v>
      </c>
      <c r="M55" t="e">
        <f ca="1">INDIRECT("白卡!C"&amp;INDIRECT("H17"))</f>
        <v>#REF!</v>
      </c>
    </row>
    <row r="56" spans="8:8">
      <c r="L56" t="s">
        <v>104</v>
      </c>
      <c r="M56">
        <f>INDIRECT("白卡!D"&amp;RANDBETWEEN(2,(LARGE(白卡!A:A,1)+1)))</f>
        <v>0.0</v>
      </c>
    </row>
    <row r="57" spans="8:8">
      <c r="L57" t="s">
        <v>92</v>
      </c>
      <c r="M57" t="str">
        <f>LOOKUP(1,0/(白卡!B:B="概念"),白卡!C:C)</f>
        <v>奥特曼</v>
      </c>
    </row>
  </sheetData>
  <sheetProtection password="c53c" sheet="1" objects="1"/>
  <mergeCells count="7">
    <mergeCell ref="L1:O1"/>
    <mergeCell ref="L8:O8"/>
    <mergeCell ref="L15:O15"/>
    <mergeCell ref="L22:O22"/>
    <mergeCell ref="L29:O29"/>
    <mergeCell ref="L36:O36"/>
    <mergeCell ref="L43:O43"/>
  </mergeCells>
  <pageMargins left="0.75" right="0.75" top="1.0" bottom="1.0" header="0.5" footer="0.5"/>
</worksheet>
</file>

<file path=xl/worksheets/sheet4.xml><?xml version="1.0" encoding="utf-8"?>
<worksheet xmlns:r="http://schemas.openxmlformats.org/officeDocument/2006/relationships" xmlns="http://schemas.openxmlformats.org/spreadsheetml/2006/main">
  <sheetPr>
    <tabColor rgb="FFFFFFFF"/>
  </sheetPr>
  <dimension ref="A1:G425"/>
  <sheetViews>
    <sheetView workbookViewId="0">
      <selection activeCell="D263" sqref="D263"/>
    </sheetView>
  </sheetViews>
  <sheetFormatPr defaultRowHeight="13.5" defaultColWidth="9"/>
  <cols>
    <col min="1" max="2" customWidth="1" width="10.625" style="0"/>
    <col min="3" max="3" customWidth="1" width="13.875" style="0"/>
    <col min="4" max="4" customWidth="1" width="65.625" style="0"/>
    <col min="5" max="5" customWidth="1" width="10.625" style="0"/>
  </cols>
  <sheetData>
    <row r="1" spans="8:8">
      <c r="A1" t="s">
        <v>105</v>
      </c>
      <c r="B1" t="s">
        <v>17</v>
      </c>
      <c r="C1" t="s">
        <v>106</v>
      </c>
      <c r="D1" t="s">
        <v>107</v>
      </c>
      <c r="E1" t="s">
        <v>108</v>
      </c>
    </row>
    <row r="2" spans="8:8">
      <c r="A2">
        <v>1.0</v>
      </c>
      <c r="B2" t="s">
        <v>42</v>
      </c>
      <c r="C2" t="s">
        <v>109</v>
      </c>
      <c r="E2" t="s">
        <v>50</v>
      </c>
    </row>
    <row r="3" spans="8:8">
      <c r="A3">
        <v>2.0</v>
      </c>
      <c r="B3" t="s">
        <v>42</v>
      </c>
      <c r="C3" t="s">
        <v>110</v>
      </c>
      <c r="E3" t="s">
        <v>50</v>
      </c>
    </row>
    <row r="4" spans="8:8">
      <c r="A4">
        <v>3.0</v>
      </c>
      <c r="B4" t="s">
        <v>42</v>
      </c>
      <c r="C4" t="s">
        <v>111</v>
      </c>
      <c r="E4" t="s">
        <v>50</v>
      </c>
    </row>
    <row r="5" spans="8:8">
      <c r="A5">
        <v>4.0</v>
      </c>
      <c r="B5" t="s">
        <v>42</v>
      </c>
      <c r="C5" t="s">
        <v>112</v>
      </c>
      <c r="E5" t="s">
        <v>50</v>
      </c>
    </row>
    <row r="6" spans="8:8">
      <c r="A6">
        <v>5.0</v>
      </c>
      <c r="B6" t="s">
        <v>42</v>
      </c>
      <c r="C6" t="s">
        <v>113</v>
      </c>
      <c r="E6" t="s">
        <v>50</v>
      </c>
    </row>
    <row r="7" spans="8:8">
      <c r="A7">
        <v>6.0</v>
      </c>
      <c r="B7" t="s">
        <v>33</v>
      </c>
      <c r="C7" t="s">
        <v>114</v>
      </c>
      <c r="E7" t="s">
        <v>50</v>
      </c>
    </row>
    <row r="8" spans="8:8">
      <c r="A8">
        <v>7.0</v>
      </c>
      <c r="B8" t="s">
        <v>33</v>
      </c>
      <c r="C8" t="s">
        <v>115</v>
      </c>
      <c r="D8" s="37" t="s">
        <v>116</v>
      </c>
      <c r="E8" t="s">
        <v>50</v>
      </c>
    </row>
    <row r="9" spans="8:8">
      <c r="A9">
        <v>8.0</v>
      </c>
      <c r="B9" t="s">
        <v>33</v>
      </c>
      <c r="C9" t="s">
        <v>117</v>
      </c>
      <c r="E9" t="s">
        <v>50</v>
      </c>
    </row>
    <row r="10" spans="8:8">
      <c r="A10">
        <v>9.0</v>
      </c>
      <c r="B10" t="s">
        <v>33</v>
      </c>
      <c r="C10" t="s">
        <v>118</v>
      </c>
      <c r="E10" t="s">
        <v>50</v>
      </c>
    </row>
    <row r="11" spans="8:8">
      <c r="A11">
        <v>10.0</v>
      </c>
      <c r="B11" t="s">
        <v>33</v>
      </c>
      <c r="C11" t="s">
        <v>119</v>
      </c>
      <c r="E11" t="s">
        <v>50</v>
      </c>
    </row>
    <row r="12" spans="8:8">
      <c r="A12">
        <v>11.0</v>
      </c>
      <c r="B12" t="s">
        <v>33</v>
      </c>
      <c r="C12" t="s">
        <v>120</v>
      </c>
      <c r="E12" t="s">
        <v>50</v>
      </c>
    </row>
    <row r="13" spans="8:8">
      <c r="A13">
        <v>12.0</v>
      </c>
      <c r="B13" t="s">
        <v>33</v>
      </c>
      <c r="C13" t="s">
        <v>121</v>
      </c>
      <c r="E13" t="s">
        <v>50</v>
      </c>
    </row>
    <row r="14" spans="8:8">
      <c r="A14">
        <v>13.0</v>
      </c>
      <c r="B14" t="s">
        <v>33</v>
      </c>
      <c r="C14" t="s">
        <v>122</v>
      </c>
      <c r="E14" t="s">
        <v>50</v>
      </c>
    </row>
    <row r="15" spans="8:8">
      <c r="A15">
        <v>14.0</v>
      </c>
      <c r="B15" t="s">
        <v>33</v>
      </c>
      <c r="C15" t="s">
        <v>123</v>
      </c>
      <c r="E15" t="s">
        <v>50</v>
      </c>
    </row>
    <row r="16" spans="8:8">
      <c r="A16">
        <v>15.0</v>
      </c>
      <c r="B16" t="s">
        <v>36</v>
      </c>
      <c r="C16" t="s">
        <v>124</v>
      </c>
      <c r="E16" t="s">
        <v>50</v>
      </c>
    </row>
    <row r="17" spans="8:8">
      <c r="A17">
        <v>16.0</v>
      </c>
      <c r="B17" t="s">
        <v>33</v>
      </c>
      <c r="C17" t="s">
        <v>125</v>
      </c>
      <c r="E17" t="s">
        <v>50</v>
      </c>
    </row>
    <row r="18" spans="8:8">
      <c r="A18">
        <v>17.0</v>
      </c>
      <c r="B18" s="37" t="s">
        <v>33</v>
      </c>
      <c r="C18" t="s">
        <v>126</v>
      </c>
      <c r="E18" t="s">
        <v>50</v>
      </c>
    </row>
    <row r="19" spans="8:8">
      <c r="A19">
        <v>18.0</v>
      </c>
      <c r="B19" t="s">
        <v>39</v>
      </c>
      <c r="C19" t="s">
        <v>127</v>
      </c>
      <c r="E19" t="s">
        <v>50</v>
      </c>
    </row>
    <row r="20" spans="8:8">
      <c r="A20">
        <v>19.0</v>
      </c>
      <c r="B20" t="s">
        <v>33</v>
      </c>
      <c r="C20" t="s">
        <v>128</v>
      </c>
      <c r="E20" t="s">
        <v>50</v>
      </c>
    </row>
    <row r="21" spans="8:8">
      <c r="A21">
        <v>20.0</v>
      </c>
      <c r="B21" t="s">
        <v>33</v>
      </c>
      <c r="C21" t="s">
        <v>129</v>
      </c>
      <c r="E21" t="s">
        <v>50</v>
      </c>
    </row>
    <row r="22" spans="8:8">
      <c r="A22">
        <v>21.0</v>
      </c>
      <c r="B22" t="s">
        <v>33</v>
      </c>
      <c r="C22" t="s">
        <v>130</v>
      </c>
      <c r="E22" t="s">
        <v>50</v>
      </c>
    </row>
    <row r="23" spans="8:8">
      <c r="A23">
        <v>22.0</v>
      </c>
      <c r="B23" t="s">
        <v>33</v>
      </c>
      <c r="C23" t="s">
        <v>131</v>
      </c>
      <c r="E23" t="s">
        <v>50</v>
      </c>
    </row>
    <row r="24" spans="8:8">
      <c r="A24">
        <v>23.0</v>
      </c>
      <c r="B24" t="s">
        <v>36</v>
      </c>
      <c r="C24" t="s">
        <v>132</v>
      </c>
      <c r="E24" t="s">
        <v>50</v>
      </c>
    </row>
    <row r="25" spans="8:8">
      <c r="A25">
        <v>24.0</v>
      </c>
      <c r="B25" t="s">
        <v>36</v>
      </c>
      <c r="C25" t="s">
        <v>133</v>
      </c>
      <c r="E25" t="s">
        <v>50</v>
      </c>
    </row>
    <row r="26" spans="8:8">
      <c r="A26">
        <v>25.0</v>
      </c>
      <c r="B26" t="s">
        <v>39</v>
      </c>
      <c r="C26" t="s">
        <v>134</v>
      </c>
      <c r="E26" t="s">
        <v>50</v>
      </c>
    </row>
    <row r="27" spans="8:8">
      <c r="A27">
        <v>26.0</v>
      </c>
      <c r="B27" t="s">
        <v>42</v>
      </c>
      <c r="C27" t="s">
        <v>135</v>
      </c>
      <c r="E27" t="s">
        <v>50</v>
      </c>
    </row>
    <row r="28" spans="8:8">
      <c r="A28">
        <v>27.0</v>
      </c>
      <c r="B28" t="s">
        <v>36</v>
      </c>
      <c r="C28" t="s">
        <v>136</v>
      </c>
      <c r="E28" t="s">
        <v>50</v>
      </c>
    </row>
    <row r="29" spans="8:8">
      <c r="A29">
        <v>28.0</v>
      </c>
      <c r="B29" t="s">
        <v>30</v>
      </c>
      <c r="C29" t="s">
        <v>137</v>
      </c>
      <c r="E29" t="s">
        <v>50</v>
      </c>
    </row>
    <row r="30" spans="8:8">
      <c r="A30">
        <v>29.0</v>
      </c>
      <c r="B30" t="s">
        <v>33</v>
      </c>
      <c r="C30" t="s">
        <v>138</v>
      </c>
      <c r="E30" t="s">
        <v>50</v>
      </c>
    </row>
    <row r="31" spans="8:8">
      <c r="A31">
        <v>30.0</v>
      </c>
      <c r="B31" t="s">
        <v>36</v>
      </c>
      <c r="C31" t="s">
        <v>139</v>
      </c>
      <c r="E31" t="s">
        <v>50</v>
      </c>
    </row>
    <row r="32" spans="8:8">
      <c r="A32">
        <v>31.0</v>
      </c>
      <c r="B32" t="s">
        <v>42</v>
      </c>
      <c r="C32" t="s">
        <v>140</v>
      </c>
      <c r="E32" t="s">
        <v>50</v>
      </c>
    </row>
    <row r="33" spans="8:8">
      <c r="A33">
        <v>32.0</v>
      </c>
      <c r="B33" t="s">
        <v>36</v>
      </c>
      <c r="C33" t="s">
        <v>141</v>
      </c>
      <c r="E33" t="s">
        <v>50</v>
      </c>
    </row>
    <row r="34" spans="8:8">
      <c r="A34">
        <v>33.0</v>
      </c>
      <c r="B34" t="s">
        <v>33</v>
      </c>
      <c r="C34" t="s">
        <v>142</v>
      </c>
      <c r="E34" t="s">
        <v>50</v>
      </c>
    </row>
    <row r="35" spans="8:8">
      <c r="A35">
        <v>34.0</v>
      </c>
      <c r="B35" t="s">
        <v>36</v>
      </c>
      <c r="C35" t="s">
        <v>143</v>
      </c>
      <c r="E35" t="s">
        <v>50</v>
      </c>
    </row>
    <row r="36" spans="8:8">
      <c r="A36">
        <v>35.0</v>
      </c>
      <c r="B36" t="s">
        <v>33</v>
      </c>
      <c r="C36" t="s">
        <v>144</v>
      </c>
      <c r="E36" t="s">
        <v>50</v>
      </c>
    </row>
    <row r="37" spans="8:8">
      <c r="A37">
        <v>36.0</v>
      </c>
      <c r="B37" t="s">
        <v>33</v>
      </c>
      <c r="C37" t="s">
        <v>145</v>
      </c>
      <c r="E37" t="s">
        <v>50</v>
      </c>
    </row>
    <row r="38" spans="8:8">
      <c r="A38">
        <v>37.0</v>
      </c>
      <c r="B38" t="s">
        <v>39</v>
      </c>
      <c r="C38" t="s">
        <v>146</v>
      </c>
      <c r="E38" t="s">
        <v>50</v>
      </c>
    </row>
    <row r="39" spans="8:8">
      <c r="A39">
        <v>38.0</v>
      </c>
      <c r="B39" t="s">
        <v>42</v>
      </c>
      <c r="C39" t="s">
        <v>147</v>
      </c>
      <c r="E39" t="s">
        <v>50</v>
      </c>
    </row>
    <row r="40" spans="8:8">
      <c r="A40">
        <v>39.0</v>
      </c>
      <c r="B40" t="s">
        <v>33</v>
      </c>
      <c r="C40" t="s">
        <v>148</v>
      </c>
      <c r="E40" t="s">
        <v>50</v>
      </c>
    </row>
    <row r="41" spans="8:8">
      <c r="A41">
        <v>40.0</v>
      </c>
      <c r="B41" t="s">
        <v>33</v>
      </c>
      <c r="C41" t="s">
        <v>149</v>
      </c>
      <c r="E41" t="s">
        <v>50</v>
      </c>
    </row>
    <row r="42" spans="8:8">
      <c r="A42">
        <v>41.0</v>
      </c>
      <c r="B42" t="s">
        <v>33</v>
      </c>
      <c r="C42" t="s">
        <v>150</v>
      </c>
      <c r="E42" t="s">
        <v>50</v>
      </c>
    </row>
    <row r="43" spans="8:8">
      <c r="A43">
        <v>42.0</v>
      </c>
      <c r="B43" t="s">
        <v>36</v>
      </c>
      <c r="C43" t="s">
        <v>151</v>
      </c>
      <c r="E43" t="s">
        <v>50</v>
      </c>
    </row>
    <row r="44" spans="8:8">
      <c r="A44">
        <v>43.0</v>
      </c>
      <c r="B44" t="s">
        <v>36</v>
      </c>
      <c r="C44" t="s">
        <v>152</v>
      </c>
      <c r="E44" t="s">
        <v>50</v>
      </c>
    </row>
    <row r="45" spans="8:8">
      <c r="A45">
        <v>44.0</v>
      </c>
      <c r="B45" t="s">
        <v>36</v>
      </c>
      <c r="C45" t="s">
        <v>153</v>
      </c>
      <c r="E45" t="s">
        <v>50</v>
      </c>
    </row>
    <row r="46" spans="8:8">
      <c r="A46">
        <v>45.0</v>
      </c>
      <c r="B46" t="s">
        <v>36</v>
      </c>
      <c r="C46" t="s">
        <v>154</v>
      </c>
      <c r="E46" t="s">
        <v>50</v>
      </c>
    </row>
    <row r="47" spans="8:8">
      <c r="A47">
        <v>46.0</v>
      </c>
      <c r="B47" t="s">
        <v>42</v>
      </c>
      <c r="C47" t="s">
        <v>155</v>
      </c>
      <c r="E47" t="s">
        <v>50</v>
      </c>
    </row>
    <row r="48" spans="8:8">
      <c r="A48">
        <v>47.0</v>
      </c>
      <c r="B48" t="s">
        <v>42</v>
      </c>
      <c r="C48" t="s">
        <v>156</v>
      </c>
      <c r="E48" t="s">
        <v>50</v>
      </c>
    </row>
    <row r="49" spans="8:8">
      <c r="A49">
        <v>48.0</v>
      </c>
      <c r="B49" t="s">
        <v>42</v>
      </c>
      <c r="C49" t="s">
        <v>157</v>
      </c>
      <c r="E49" t="s">
        <v>50</v>
      </c>
    </row>
    <row r="50" spans="8:8">
      <c r="A50">
        <v>49.0</v>
      </c>
      <c r="B50" t="s">
        <v>33</v>
      </c>
      <c r="C50" t="s">
        <v>158</v>
      </c>
      <c r="E50" t="s">
        <v>50</v>
      </c>
    </row>
    <row r="51" spans="8:8">
      <c r="A51">
        <v>50.0</v>
      </c>
      <c r="B51" t="s">
        <v>42</v>
      </c>
      <c r="C51" t="s">
        <v>159</v>
      </c>
      <c r="E51" t="s">
        <v>50</v>
      </c>
    </row>
    <row r="52" spans="8:8">
      <c r="A52">
        <v>51.0</v>
      </c>
      <c r="B52" t="s">
        <v>42</v>
      </c>
      <c r="C52" t="s">
        <v>160</v>
      </c>
      <c r="E52" t="s">
        <v>50</v>
      </c>
    </row>
    <row r="53" spans="8:8">
      <c r="A53">
        <v>52.0</v>
      </c>
      <c r="B53" t="s">
        <v>30</v>
      </c>
      <c r="C53" t="s">
        <v>161</v>
      </c>
      <c r="E53" t="s">
        <v>50</v>
      </c>
    </row>
    <row r="54" spans="8:8">
      <c r="A54">
        <v>53.0</v>
      </c>
      <c r="B54" t="s">
        <v>30</v>
      </c>
      <c r="C54" t="s">
        <v>162</v>
      </c>
      <c r="E54" t="s">
        <v>50</v>
      </c>
    </row>
    <row r="55" spans="8:8">
      <c r="A55">
        <v>54.0</v>
      </c>
      <c r="B55" t="s">
        <v>33</v>
      </c>
      <c r="C55" t="s">
        <v>163</v>
      </c>
      <c r="E55" t="s">
        <v>50</v>
      </c>
    </row>
    <row r="56" spans="8:8">
      <c r="A56">
        <v>55.0</v>
      </c>
      <c r="B56" t="s">
        <v>33</v>
      </c>
      <c r="C56" t="s">
        <v>164</v>
      </c>
      <c r="E56" t="s">
        <v>50</v>
      </c>
    </row>
    <row r="57" spans="8:8">
      <c r="A57">
        <v>56.0</v>
      </c>
      <c r="B57" t="s">
        <v>33</v>
      </c>
      <c r="C57" t="s">
        <v>165</v>
      </c>
      <c r="E57" t="s">
        <v>50</v>
      </c>
    </row>
    <row r="58" spans="8:8">
      <c r="A58">
        <v>57.0</v>
      </c>
      <c r="B58" t="s">
        <v>42</v>
      </c>
      <c r="C58" t="s">
        <v>166</v>
      </c>
      <c r="E58" t="s">
        <v>50</v>
      </c>
    </row>
    <row r="59" spans="8:8">
      <c r="A59">
        <v>58.0</v>
      </c>
      <c r="B59" t="s">
        <v>30</v>
      </c>
      <c r="C59" t="s">
        <v>167</v>
      </c>
      <c r="E59" t="s">
        <v>50</v>
      </c>
    </row>
    <row r="60" spans="8:8">
      <c r="A60">
        <v>59.0</v>
      </c>
      <c r="B60" t="s">
        <v>33</v>
      </c>
      <c r="C60" t="s">
        <v>168</v>
      </c>
      <c r="E60" t="s">
        <v>50</v>
      </c>
    </row>
    <row r="61" spans="8:8">
      <c r="A61">
        <v>60.0</v>
      </c>
      <c r="B61" t="s">
        <v>42</v>
      </c>
      <c r="C61" t="s">
        <v>169</v>
      </c>
      <c r="E61" t="s">
        <v>50</v>
      </c>
    </row>
    <row r="62" spans="8:8">
      <c r="A62">
        <v>61.0</v>
      </c>
      <c r="B62" t="s">
        <v>33</v>
      </c>
      <c r="C62" t="s">
        <v>170</v>
      </c>
      <c r="E62" t="s">
        <v>50</v>
      </c>
    </row>
    <row r="63" spans="8:8">
      <c r="A63">
        <v>62.0</v>
      </c>
      <c r="B63" t="s">
        <v>33</v>
      </c>
      <c r="C63" t="s">
        <v>171</v>
      </c>
      <c r="E63" t="s">
        <v>50</v>
      </c>
    </row>
    <row r="64" spans="8:8">
      <c r="A64">
        <v>63.0</v>
      </c>
      <c r="B64" t="s">
        <v>33</v>
      </c>
      <c r="C64" t="s">
        <v>172</v>
      </c>
      <c r="E64" t="s">
        <v>50</v>
      </c>
    </row>
    <row r="65" spans="8:8">
      <c r="A65">
        <v>64.0</v>
      </c>
      <c r="B65" t="s">
        <v>36</v>
      </c>
      <c r="C65" t="s">
        <v>173</v>
      </c>
      <c r="E65" t="s">
        <v>50</v>
      </c>
    </row>
    <row r="66" spans="8:8">
      <c r="A66">
        <v>65.0</v>
      </c>
      <c r="B66" t="s">
        <v>30</v>
      </c>
      <c r="C66" t="s">
        <v>174</v>
      </c>
      <c r="E66" t="s">
        <v>50</v>
      </c>
    </row>
    <row r="67" spans="8:8">
      <c r="A67">
        <v>66.0</v>
      </c>
      <c r="B67" t="s">
        <v>36</v>
      </c>
      <c r="C67" t="s">
        <v>175</v>
      </c>
      <c r="E67" t="s">
        <v>50</v>
      </c>
    </row>
    <row r="68" spans="8:8">
      <c r="A68">
        <v>67.0</v>
      </c>
      <c r="B68" t="s">
        <v>42</v>
      </c>
      <c r="C68" t="s">
        <v>176</v>
      </c>
      <c r="E68" t="s">
        <v>50</v>
      </c>
    </row>
    <row r="69" spans="8:8">
      <c r="A69">
        <v>68.0</v>
      </c>
      <c r="B69" t="s">
        <v>30</v>
      </c>
      <c r="C69" t="s">
        <v>177</v>
      </c>
      <c r="E69" t="s">
        <v>50</v>
      </c>
    </row>
    <row r="70" spans="8:8">
      <c r="A70">
        <v>69.0</v>
      </c>
      <c r="B70" t="s">
        <v>36</v>
      </c>
      <c r="C70" t="s">
        <v>178</v>
      </c>
      <c r="E70" t="s">
        <v>50</v>
      </c>
    </row>
    <row r="71" spans="8:8">
      <c r="A71">
        <v>70.0</v>
      </c>
      <c r="B71" t="s">
        <v>33</v>
      </c>
      <c r="C71" t="s">
        <v>179</v>
      </c>
      <c r="E71" t="s">
        <v>50</v>
      </c>
    </row>
    <row r="72" spans="8:8">
      <c r="A72">
        <v>71.0</v>
      </c>
      <c r="B72" t="s">
        <v>42</v>
      </c>
      <c r="C72" t="s">
        <v>180</v>
      </c>
      <c r="E72" t="s">
        <v>50</v>
      </c>
    </row>
    <row r="73" spans="8:8">
      <c r="A73">
        <v>72.0</v>
      </c>
      <c r="B73" t="s">
        <v>36</v>
      </c>
      <c r="C73" t="s">
        <v>181</v>
      </c>
      <c r="E73" t="s">
        <v>50</v>
      </c>
    </row>
    <row r="74" spans="8:8">
      <c r="A74">
        <v>73.0</v>
      </c>
      <c r="B74" t="s">
        <v>39</v>
      </c>
      <c r="C74" t="s">
        <v>182</v>
      </c>
      <c r="E74" t="s">
        <v>50</v>
      </c>
    </row>
    <row r="75" spans="8:8">
      <c r="A75">
        <v>74.0</v>
      </c>
      <c r="B75" t="s">
        <v>39</v>
      </c>
      <c r="C75" t="s">
        <v>183</v>
      </c>
      <c r="E75" t="s">
        <v>50</v>
      </c>
    </row>
    <row r="76" spans="8:8">
      <c r="A76">
        <v>75.0</v>
      </c>
      <c r="B76" t="s">
        <v>42</v>
      </c>
      <c r="C76" t="s">
        <v>184</v>
      </c>
      <c r="E76" t="s">
        <v>50</v>
      </c>
    </row>
    <row r="77" spans="8:8">
      <c r="A77">
        <v>76.0</v>
      </c>
      <c r="B77" t="s">
        <v>33</v>
      </c>
      <c r="C77" t="s">
        <v>185</v>
      </c>
      <c r="E77" t="s">
        <v>50</v>
      </c>
    </row>
    <row r="78" spans="8:8">
      <c r="A78">
        <v>77.0</v>
      </c>
      <c r="B78" t="s">
        <v>33</v>
      </c>
      <c r="C78" t="s">
        <v>186</v>
      </c>
      <c r="E78" t="s">
        <v>50</v>
      </c>
    </row>
    <row r="79" spans="8:8">
      <c r="A79">
        <v>78.0</v>
      </c>
      <c r="B79" t="s">
        <v>42</v>
      </c>
      <c r="C79" t="s">
        <v>187</v>
      </c>
      <c r="E79" t="s">
        <v>50</v>
      </c>
    </row>
    <row r="80" spans="8:8">
      <c r="A80">
        <v>79.0</v>
      </c>
      <c r="B80" t="s">
        <v>33</v>
      </c>
      <c r="C80" t="s">
        <v>188</v>
      </c>
      <c r="E80" t="s">
        <v>50</v>
      </c>
    </row>
    <row r="81" spans="8:8">
      <c r="A81">
        <v>80.0</v>
      </c>
      <c r="B81" t="s">
        <v>42</v>
      </c>
      <c r="C81" t="s">
        <v>189</v>
      </c>
      <c r="E81" t="s">
        <v>50</v>
      </c>
    </row>
    <row r="82" spans="8:8">
      <c r="A82">
        <v>81.0</v>
      </c>
      <c r="B82" t="s">
        <v>30</v>
      </c>
      <c r="C82" t="s">
        <v>190</v>
      </c>
      <c r="E82" t="s">
        <v>50</v>
      </c>
    </row>
    <row r="83" spans="8:8">
      <c r="A83">
        <v>82.0</v>
      </c>
      <c r="B83" t="s">
        <v>42</v>
      </c>
      <c r="C83" t="s">
        <v>191</v>
      </c>
      <c r="E83" t="s">
        <v>50</v>
      </c>
    </row>
    <row r="84" spans="8:8">
      <c r="A84">
        <v>83.0</v>
      </c>
      <c r="B84" t="s">
        <v>33</v>
      </c>
      <c r="C84" t="s">
        <v>192</v>
      </c>
      <c r="E84" t="s">
        <v>50</v>
      </c>
    </row>
    <row r="85" spans="8:8">
      <c r="A85">
        <v>84.0</v>
      </c>
      <c r="B85" t="s">
        <v>33</v>
      </c>
      <c r="C85" t="s">
        <v>193</v>
      </c>
      <c r="E85" t="s">
        <v>50</v>
      </c>
    </row>
    <row r="86" spans="8:8">
      <c r="A86">
        <v>85.0</v>
      </c>
      <c r="B86" t="s">
        <v>42</v>
      </c>
      <c r="C86" t="s">
        <v>194</v>
      </c>
      <c r="E86" t="s">
        <v>50</v>
      </c>
    </row>
    <row r="87" spans="8:8">
      <c r="A87">
        <v>86.0</v>
      </c>
      <c r="B87" t="s">
        <v>33</v>
      </c>
      <c r="C87" t="s">
        <v>195</v>
      </c>
      <c r="E87" t="s">
        <v>50</v>
      </c>
    </row>
    <row r="88" spans="8:8">
      <c r="A88">
        <v>87.0</v>
      </c>
      <c r="B88" t="s">
        <v>42</v>
      </c>
      <c r="C88" t="s">
        <v>196</v>
      </c>
      <c r="E88" t="s">
        <v>50</v>
      </c>
    </row>
    <row r="89" spans="8:8">
      <c r="A89">
        <v>88.0</v>
      </c>
      <c r="B89" t="s">
        <v>33</v>
      </c>
      <c r="C89" t="s">
        <v>197</v>
      </c>
      <c r="E89" t="s">
        <v>50</v>
      </c>
    </row>
    <row r="90" spans="8:8">
      <c r="A90">
        <v>89.0</v>
      </c>
      <c r="B90" t="s">
        <v>42</v>
      </c>
      <c r="C90" t="s">
        <v>198</v>
      </c>
      <c r="E90" t="s">
        <v>50</v>
      </c>
    </row>
    <row r="91" spans="8:8">
      <c r="A91">
        <v>90.0</v>
      </c>
      <c r="B91" t="s">
        <v>42</v>
      </c>
      <c r="C91" t="s">
        <v>199</v>
      </c>
      <c r="E91" t="s">
        <v>50</v>
      </c>
    </row>
    <row r="92" spans="8:8">
      <c r="A92">
        <v>91.0</v>
      </c>
      <c r="B92" t="s">
        <v>42</v>
      </c>
      <c r="C92" t="s">
        <v>200</v>
      </c>
      <c r="E92" t="s">
        <v>50</v>
      </c>
    </row>
    <row r="93" spans="8:8">
      <c r="A93">
        <v>92.0</v>
      </c>
      <c r="B93" t="s">
        <v>42</v>
      </c>
      <c r="C93" t="s">
        <v>201</v>
      </c>
      <c r="E93" t="s">
        <v>50</v>
      </c>
    </row>
    <row r="94" spans="8:8">
      <c r="A94">
        <v>93.0</v>
      </c>
      <c r="B94" t="s">
        <v>30</v>
      </c>
      <c r="C94" t="s">
        <v>202</v>
      </c>
      <c r="E94" t="s">
        <v>50</v>
      </c>
    </row>
    <row r="95" spans="8:8">
      <c r="A95">
        <v>94.0</v>
      </c>
      <c r="B95" t="s">
        <v>33</v>
      </c>
      <c r="C95" t="s">
        <v>203</v>
      </c>
      <c r="E95" t="s">
        <v>50</v>
      </c>
    </row>
    <row r="96" spans="8:8">
      <c r="A96">
        <v>95.0</v>
      </c>
      <c r="B96" t="s">
        <v>39</v>
      </c>
      <c r="C96" t="s">
        <v>204</v>
      </c>
      <c r="E96" t="s">
        <v>50</v>
      </c>
    </row>
    <row r="97" spans="8:8">
      <c r="A97">
        <v>96.0</v>
      </c>
      <c r="B97" t="s">
        <v>42</v>
      </c>
      <c r="C97" t="s">
        <v>205</v>
      </c>
      <c r="E97" t="s">
        <v>50</v>
      </c>
    </row>
    <row r="98" spans="8:8">
      <c r="A98">
        <v>97.0</v>
      </c>
      <c r="B98" t="s">
        <v>42</v>
      </c>
      <c r="C98" t="s">
        <v>206</v>
      </c>
      <c r="E98" t="s">
        <v>50</v>
      </c>
    </row>
    <row r="99" spans="8:8">
      <c r="A99">
        <v>98.0</v>
      </c>
      <c r="B99" t="s">
        <v>42</v>
      </c>
      <c r="C99" t="s">
        <v>207</v>
      </c>
      <c r="E99" t="s">
        <v>50</v>
      </c>
    </row>
    <row r="100" spans="8:8">
      <c r="A100">
        <v>99.0</v>
      </c>
      <c r="B100" t="s">
        <v>33</v>
      </c>
      <c r="C100" t="s">
        <v>208</v>
      </c>
      <c r="E100" t="s">
        <v>50</v>
      </c>
    </row>
    <row r="101" spans="8:8">
      <c r="A101">
        <v>100.0</v>
      </c>
      <c r="B101" t="s">
        <v>30</v>
      </c>
      <c r="C101" t="s">
        <v>209</v>
      </c>
      <c r="E101" t="s">
        <v>50</v>
      </c>
    </row>
    <row r="102" spans="8:8">
      <c r="A102">
        <v>101.0</v>
      </c>
      <c r="B102" t="s">
        <v>42</v>
      </c>
      <c r="C102" t="s">
        <v>210</v>
      </c>
      <c r="E102" t="s">
        <v>50</v>
      </c>
    </row>
    <row r="103" spans="8:8">
      <c r="A103">
        <v>102.0</v>
      </c>
      <c r="B103" t="s">
        <v>33</v>
      </c>
      <c r="C103" t="s">
        <v>211</v>
      </c>
      <c r="E103" t="s">
        <v>50</v>
      </c>
    </row>
    <row r="104" spans="8:8">
      <c r="A104">
        <v>103.0</v>
      </c>
      <c r="B104" t="s">
        <v>42</v>
      </c>
      <c r="C104" t="s">
        <v>212</v>
      </c>
      <c r="E104" t="s">
        <v>50</v>
      </c>
    </row>
    <row r="105" spans="8:8">
      <c r="A105">
        <v>104.0</v>
      </c>
      <c r="B105" t="s">
        <v>42</v>
      </c>
      <c r="C105" t="s">
        <v>213</v>
      </c>
      <c r="E105" t="s">
        <v>50</v>
      </c>
    </row>
    <row r="106" spans="8:8">
      <c r="A106">
        <v>105.0</v>
      </c>
      <c r="B106" t="s">
        <v>33</v>
      </c>
      <c r="C106" t="s">
        <v>214</v>
      </c>
      <c r="E106" t="s">
        <v>50</v>
      </c>
    </row>
    <row r="107" spans="8:8">
      <c r="A107">
        <v>106.0</v>
      </c>
      <c r="B107" t="s">
        <v>33</v>
      </c>
      <c r="C107" t="s">
        <v>215</v>
      </c>
      <c r="E107" t="s">
        <v>50</v>
      </c>
    </row>
    <row r="108" spans="8:8">
      <c r="A108">
        <v>107.0</v>
      </c>
      <c r="B108" t="s">
        <v>33</v>
      </c>
      <c r="C108" t="s">
        <v>216</v>
      </c>
      <c r="E108" t="s">
        <v>50</v>
      </c>
    </row>
    <row r="109" spans="8:8">
      <c r="A109">
        <v>108.0</v>
      </c>
      <c r="B109" t="s">
        <v>39</v>
      </c>
      <c r="C109" t="s">
        <v>217</v>
      </c>
      <c r="E109" t="s">
        <v>50</v>
      </c>
    </row>
    <row r="110" spans="8:8">
      <c r="A110">
        <v>109.0</v>
      </c>
      <c r="B110" t="s">
        <v>33</v>
      </c>
      <c r="C110" t="s">
        <v>218</v>
      </c>
      <c r="E110" t="s">
        <v>50</v>
      </c>
    </row>
    <row r="111" spans="8:8">
      <c r="A111">
        <v>110.0</v>
      </c>
      <c r="B111" t="s">
        <v>30</v>
      </c>
      <c r="C111" t="s">
        <v>219</v>
      </c>
      <c r="E111" t="s">
        <v>50</v>
      </c>
    </row>
    <row r="112" spans="8:8">
      <c r="A112">
        <v>111.0</v>
      </c>
      <c r="B112" t="s">
        <v>39</v>
      </c>
      <c r="C112" t="s">
        <v>220</v>
      </c>
      <c r="E112" t="s">
        <v>50</v>
      </c>
    </row>
    <row r="113" spans="8:8">
      <c r="A113">
        <v>112.0</v>
      </c>
      <c r="B113" t="s">
        <v>33</v>
      </c>
      <c r="C113" t="s">
        <v>221</v>
      </c>
      <c r="E113" t="s">
        <v>50</v>
      </c>
    </row>
    <row r="114" spans="8:8">
      <c r="A114">
        <v>113.0</v>
      </c>
      <c r="B114" t="s">
        <v>30</v>
      </c>
      <c r="C114" t="s">
        <v>222</v>
      </c>
      <c r="E114" t="s">
        <v>50</v>
      </c>
    </row>
    <row r="115" spans="8:8">
      <c r="A115">
        <v>114.0</v>
      </c>
      <c r="B115" t="s">
        <v>36</v>
      </c>
      <c r="C115" t="s">
        <v>223</v>
      </c>
      <c r="E115" t="s">
        <v>50</v>
      </c>
    </row>
    <row r="116" spans="8:8">
      <c r="A116">
        <v>115.0</v>
      </c>
      <c r="B116" t="s">
        <v>39</v>
      </c>
      <c r="C116" t="s">
        <v>224</v>
      </c>
      <c r="E116" t="s">
        <v>50</v>
      </c>
    </row>
    <row r="117" spans="8:8">
      <c r="A117">
        <v>116.0</v>
      </c>
      <c r="B117" t="s">
        <v>42</v>
      </c>
      <c r="C117" t="s">
        <v>225</v>
      </c>
      <c r="E117" t="s">
        <v>50</v>
      </c>
    </row>
    <row r="118" spans="8:8">
      <c r="A118">
        <v>117.0</v>
      </c>
      <c r="B118" t="s">
        <v>42</v>
      </c>
      <c r="C118" t="s">
        <v>226</v>
      </c>
      <c r="E118" t="s">
        <v>50</v>
      </c>
    </row>
    <row r="119" spans="8:8">
      <c r="A119">
        <v>118.0</v>
      </c>
      <c r="B119" t="s">
        <v>42</v>
      </c>
      <c r="C119" t="s">
        <v>227</v>
      </c>
      <c r="E119" t="s">
        <v>50</v>
      </c>
    </row>
    <row r="120" spans="8:8">
      <c r="A120">
        <v>119.0</v>
      </c>
      <c r="B120" t="s">
        <v>33</v>
      </c>
      <c r="C120" t="s">
        <v>228</v>
      </c>
      <c r="E120" t="s">
        <v>50</v>
      </c>
    </row>
    <row r="121" spans="8:8">
      <c r="A121">
        <v>120.0</v>
      </c>
      <c r="B121" t="s">
        <v>39</v>
      </c>
      <c r="C121" t="s">
        <v>229</v>
      </c>
      <c r="D121" s="37" t="s">
        <v>230</v>
      </c>
      <c r="E121" t="s">
        <v>50</v>
      </c>
    </row>
    <row r="122" spans="8:8">
      <c r="A122">
        <v>121.0</v>
      </c>
      <c r="B122" t="s">
        <v>30</v>
      </c>
      <c r="C122" t="s">
        <v>231</v>
      </c>
      <c r="E122" t="s">
        <v>50</v>
      </c>
    </row>
    <row r="123" spans="8:8">
      <c r="A123">
        <v>122.0</v>
      </c>
      <c r="B123" t="s">
        <v>30</v>
      </c>
      <c r="C123" t="s">
        <v>232</v>
      </c>
      <c r="E123" t="s">
        <v>50</v>
      </c>
    </row>
    <row r="124" spans="8:8">
      <c r="A124">
        <v>123.0</v>
      </c>
      <c r="B124" t="s">
        <v>33</v>
      </c>
      <c r="C124" t="s">
        <v>233</v>
      </c>
      <c r="D124" t="s">
        <v>234</v>
      </c>
    </row>
    <row r="125" spans="8:8" ht="13.5" customFormat="1">
      <c r="A125">
        <v>124.0</v>
      </c>
      <c r="B125" t="s">
        <v>33</v>
      </c>
      <c r="C125" t="s">
        <v>235</v>
      </c>
      <c r="D125" t="s">
        <v>236</v>
      </c>
    </row>
    <row r="126" spans="8:8" ht="13.5" customFormat="1">
      <c r="A126">
        <v>125.0</v>
      </c>
      <c r="B126" t="s">
        <v>30</v>
      </c>
      <c r="C126" t="s">
        <v>237</v>
      </c>
      <c r="D126" t="s">
        <v>238</v>
      </c>
    </row>
    <row r="127" spans="8:8" ht="13.5" customFormat="1">
      <c r="A127">
        <v>126.0</v>
      </c>
      <c r="B127" t="s">
        <v>39</v>
      </c>
      <c r="C127" t="s">
        <v>239</v>
      </c>
      <c r="D127" t="s">
        <v>240</v>
      </c>
    </row>
    <row r="128" spans="8:8" ht="13.5" customFormat="1">
      <c r="A128">
        <v>127.0</v>
      </c>
      <c r="B128" t="s">
        <v>39</v>
      </c>
      <c r="C128" t="s">
        <v>241</v>
      </c>
      <c r="D128" s="1" t="s">
        <v>242</v>
      </c>
    </row>
    <row r="129" spans="8:8" ht="13.5" customFormat="1">
      <c r="A129">
        <v>128.0</v>
      </c>
      <c r="B129" t="s">
        <v>39</v>
      </c>
      <c r="C129" t="s">
        <v>243</v>
      </c>
      <c r="D129" t="s">
        <v>244</v>
      </c>
    </row>
    <row r="130" spans="8:8" ht="13.5" customFormat="1">
      <c r="A130">
        <v>129.0</v>
      </c>
      <c r="B130" t="s">
        <v>39</v>
      </c>
      <c r="C130" t="s">
        <v>245</v>
      </c>
      <c r="D130" s="1" t="s">
        <v>246</v>
      </c>
    </row>
    <row r="131" spans="8:8" ht="13.5" customFormat="1">
      <c r="A131">
        <v>130.0</v>
      </c>
      <c r="B131" t="s">
        <v>39</v>
      </c>
      <c r="C131" t="s">
        <v>247</v>
      </c>
      <c r="D131" t="s">
        <v>248</v>
      </c>
    </row>
    <row r="132" spans="8:8">
      <c r="A132">
        <v>131.0</v>
      </c>
      <c r="B132" t="s">
        <v>39</v>
      </c>
      <c r="C132" t="s">
        <v>249</v>
      </c>
      <c r="D132" t="s">
        <v>250</v>
      </c>
    </row>
    <row r="133" spans="8:8">
      <c r="A133">
        <v>132.0</v>
      </c>
      <c r="B133" t="s">
        <v>39</v>
      </c>
      <c r="C133" t="s">
        <v>251</v>
      </c>
      <c r="D133" t="s">
        <v>252</v>
      </c>
    </row>
    <row r="134" spans="8:8">
      <c r="A134">
        <v>133.0</v>
      </c>
      <c r="B134" t="s">
        <v>39</v>
      </c>
      <c r="C134" t="s">
        <v>253</v>
      </c>
      <c r="D134" t="s">
        <v>254</v>
      </c>
    </row>
    <row r="135" spans="8:8">
      <c r="A135">
        <v>134.0</v>
      </c>
      <c r="B135" t="s">
        <v>30</v>
      </c>
      <c r="C135" t="s">
        <v>255</v>
      </c>
      <c r="D135" t="s">
        <v>256</v>
      </c>
    </row>
    <row r="136" spans="8:8">
      <c r="A136">
        <v>135.0</v>
      </c>
      <c r="B136" t="s">
        <v>42</v>
      </c>
      <c r="C136" t="s">
        <v>257</v>
      </c>
    </row>
    <row r="137" spans="8:8">
      <c r="A137">
        <v>136.0</v>
      </c>
      <c r="B137" t="s">
        <v>33</v>
      </c>
      <c r="C137" t="s">
        <v>258</v>
      </c>
      <c r="E137" t="s">
        <v>54</v>
      </c>
    </row>
    <row r="138" spans="8:8">
      <c r="A138">
        <v>137.0</v>
      </c>
      <c r="B138" t="s">
        <v>42</v>
      </c>
      <c r="C138" t="s">
        <v>259</v>
      </c>
      <c r="E138" t="s">
        <v>54</v>
      </c>
    </row>
    <row r="139" spans="8:8">
      <c r="A139">
        <v>138.0</v>
      </c>
      <c r="B139" t="s">
        <v>30</v>
      </c>
      <c r="C139" t="s">
        <v>260</v>
      </c>
      <c r="E139" t="s">
        <v>54</v>
      </c>
    </row>
    <row r="140" spans="8:8">
      <c r="A140">
        <v>139.0</v>
      </c>
      <c r="B140" t="s">
        <v>30</v>
      </c>
      <c r="C140" t="s">
        <v>261</v>
      </c>
      <c r="E140" t="s">
        <v>54</v>
      </c>
    </row>
    <row r="141" spans="8:8">
      <c r="A141">
        <v>140.0</v>
      </c>
      <c r="B141" t="s">
        <v>33</v>
      </c>
      <c r="C141" t="s">
        <v>262</v>
      </c>
      <c r="E141" t="s">
        <v>54</v>
      </c>
    </row>
    <row r="142" spans="8:8">
      <c r="A142">
        <v>141.0</v>
      </c>
      <c r="B142" t="s">
        <v>39</v>
      </c>
      <c r="C142" t="s">
        <v>263</v>
      </c>
      <c r="E142" t="s">
        <v>54</v>
      </c>
    </row>
    <row r="143" spans="8:8">
      <c r="A143">
        <v>142.0</v>
      </c>
      <c r="B143" t="s">
        <v>42</v>
      </c>
      <c r="C143" t="s">
        <v>199</v>
      </c>
      <c r="E143" t="s">
        <v>54</v>
      </c>
    </row>
    <row r="144" spans="8:8">
      <c r="A144">
        <v>143.0</v>
      </c>
      <c r="B144" t="s">
        <v>42</v>
      </c>
      <c r="C144" t="s">
        <v>264</v>
      </c>
      <c r="E144" t="s">
        <v>54</v>
      </c>
    </row>
    <row r="145" spans="8:8">
      <c r="A145">
        <v>144.0</v>
      </c>
      <c r="B145" t="s">
        <v>42</v>
      </c>
      <c r="C145" t="s">
        <v>265</v>
      </c>
      <c r="E145" t="s">
        <v>54</v>
      </c>
    </row>
    <row r="146" spans="8:8">
      <c r="A146">
        <v>145.0</v>
      </c>
      <c r="B146" t="s">
        <v>42</v>
      </c>
      <c r="C146" t="s">
        <v>266</v>
      </c>
      <c r="E146" t="s">
        <v>54</v>
      </c>
    </row>
    <row r="147" spans="8:8">
      <c r="A147">
        <v>146.0</v>
      </c>
      <c r="B147" t="s">
        <v>30</v>
      </c>
      <c r="C147" t="s">
        <v>267</v>
      </c>
      <c r="D147" s="37" t="s">
        <v>268</v>
      </c>
      <c r="E147" t="s">
        <v>54</v>
      </c>
    </row>
    <row r="148" spans="8:8">
      <c r="A148">
        <v>147.0</v>
      </c>
      <c r="B148" t="s">
        <v>33</v>
      </c>
      <c r="C148" t="s">
        <v>269</v>
      </c>
      <c r="E148" t="s">
        <v>54</v>
      </c>
    </row>
    <row r="149" spans="8:8">
      <c r="A149">
        <v>148.0</v>
      </c>
      <c r="B149" t="s">
        <v>39</v>
      </c>
      <c r="C149" t="s">
        <v>270</v>
      </c>
      <c r="E149" t="s">
        <v>54</v>
      </c>
    </row>
    <row r="150" spans="8:8">
      <c r="A150">
        <v>149.0</v>
      </c>
      <c r="B150" t="s">
        <v>42</v>
      </c>
      <c r="C150" t="s">
        <v>271</v>
      </c>
      <c r="E150" t="s">
        <v>54</v>
      </c>
    </row>
    <row r="151" spans="8:8">
      <c r="A151">
        <v>150.0</v>
      </c>
      <c r="B151" t="s">
        <v>39</v>
      </c>
      <c r="C151" t="s">
        <v>272</v>
      </c>
      <c r="E151" t="s">
        <v>54</v>
      </c>
    </row>
    <row r="152" spans="8:8">
      <c r="A152">
        <v>151.0</v>
      </c>
      <c r="B152" t="s">
        <v>42</v>
      </c>
      <c r="C152" t="s">
        <v>273</v>
      </c>
      <c r="E152" t="s">
        <v>54</v>
      </c>
    </row>
    <row r="153" spans="8:8">
      <c r="A153">
        <v>152.0</v>
      </c>
      <c r="B153" t="s">
        <v>30</v>
      </c>
      <c r="C153" t="s">
        <v>274</v>
      </c>
      <c r="E153" t="s">
        <v>54</v>
      </c>
    </row>
    <row r="154" spans="8:8">
      <c r="A154">
        <v>153.0</v>
      </c>
      <c r="B154" t="s">
        <v>42</v>
      </c>
      <c r="C154" t="s">
        <v>275</v>
      </c>
      <c r="E154" t="s">
        <v>54</v>
      </c>
    </row>
    <row r="155" spans="8:8">
      <c r="A155">
        <v>154.0</v>
      </c>
      <c r="B155" t="s">
        <v>42</v>
      </c>
      <c r="C155" t="s">
        <v>276</v>
      </c>
      <c r="E155" t="s">
        <v>54</v>
      </c>
    </row>
    <row r="156" spans="8:8">
      <c r="A156">
        <v>155.0</v>
      </c>
      <c r="B156" t="s">
        <v>42</v>
      </c>
      <c r="C156" t="s">
        <v>277</v>
      </c>
      <c r="D156" s="37" t="s">
        <v>278</v>
      </c>
      <c r="E156" t="s">
        <v>54</v>
      </c>
    </row>
    <row r="157" spans="8:8">
      <c r="A157">
        <v>156.0</v>
      </c>
      <c r="B157" t="s">
        <v>42</v>
      </c>
      <c r="C157" t="s">
        <v>279</v>
      </c>
      <c r="E157" t="s">
        <v>54</v>
      </c>
    </row>
    <row r="158" spans="8:8">
      <c r="A158">
        <v>157.0</v>
      </c>
      <c r="B158" t="s">
        <v>39</v>
      </c>
      <c r="C158" t="s">
        <v>280</v>
      </c>
      <c r="E158" t="s">
        <v>54</v>
      </c>
    </row>
    <row r="159" spans="8:8">
      <c r="A159">
        <v>158.0</v>
      </c>
      <c r="B159" t="s">
        <v>30</v>
      </c>
      <c r="C159" t="s">
        <v>281</v>
      </c>
      <c r="E159" t="s">
        <v>54</v>
      </c>
    </row>
    <row r="160" spans="8:8">
      <c r="A160">
        <v>159.0</v>
      </c>
      <c r="B160" t="s">
        <v>39</v>
      </c>
      <c r="C160" t="s">
        <v>282</v>
      </c>
      <c r="E160" t="s">
        <v>54</v>
      </c>
    </row>
    <row r="161" spans="8:8">
      <c r="A161">
        <v>160.0</v>
      </c>
      <c r="B161" t="s">
        <v>39</v>
      </c>
      <c r="C161" t="s">
        <v>283</v>
      </c>
      <c r="E161" t="s">
        <v>54</v>
      </c>
    </row>
    <row r="162" spans="8:8">
      <c r="A162">
        <v>161.0</v>
      </c>
      <c r="B162" t="s">
        <v>39</v>
      </c>
      <c r="C162" t="s">
        <v>284</v>
      </c>
      <c r="E162" t="s">
        <v>54</v>
      </c>
    </row>
    <row r="163" spans="8:8">
      <c r="A163">
        <v>162.0</v>
      </c>
      <c r="B163" t="s">
        <v>33</v>
      </c>
      <c r="C163" t="s">
        <v>285</v>
      </c>
      <c r="E163" t="s">
        <v>54</v>
      </c>
    </row>
    <row r="164" spans="8:8">
      <c r="A164">
        <v>163.0</v>
      </c>
      <c r="B164" t="s">
        <v>39</v>
      </c>
      <c r="C164" t="s">
        <v>286</v>
      </c>
      <c r="E164" t="s">
        <v>54</v>
      </c>
    </row>
    <row r="165" spans="8:8">
      <c r="A165">
        <v>164.0</v>
      </c>
      <c r="B165" t="s">
        <v>42</v>
      </c>
      <c r="C165" t="s">
        <v>287</v>
      </c>
      <c r="E165" t="s">
        <v>54</v>
      </c>
    </row>
    <row r="166" spans="8:8">
      <c r="A166">
        <v>165.0</v>
      </c>
      <c r="B166" t="s">
        <v>39</v>
      </c>
      <c r="C166" t="s">
        <v>288</v>
      </c>
      <c r="E166" t="s">
        <v>54</v>
      </c>
    </row>
    <row r="167" spans="8:8">
      <c r="A167">
        <v>166.0</v>
      </c>
      <c r="B167" t="s">
        <v>39</v>
      </c>
      <c r="C167" t="s">
        <v>289</v>
      </c>
      <c r="E167" t="s">
        <v>54</v>
      </c>
    </row>
    <row r="168" spans="8:8">
      <c r="A168">
        <v>167.0</v>
      </c>
      <c r="B168" t="s">
        <v>42</v>
      </c>
      <c r="C168" t="s">
        <v>290</v>
      </c>
      <c r="E168" t="s">
        <v>54</v>
      </c>
    </row>
    <row r="169" spans="8:8">
      <c r="A169">
        <v>168.0</v>
      </c>
      <c r="B169" t="s">
        <v>39</v>
      </c>
      <c r="C169" t="s">
        <v>291</v>
      </c>
      <c r="E169" t="s">
        <v>54</v>
      </c>
    </row>
    <row r="170" spans="8:8">
      <c r="A170">
        <v>169.0</v>
      </c>
      <c r="B170" t="s">
        <v>39</v>
      </c>
      <c r="C170" t="s">
        <v>292</v>
      </c>
      <c r="E170" t="s">
        <v>54</v>
      </c>
    </row>
    <row r="171" spans="8:8">
      <c r="A171">
        <v>170.0</v>
      </c>
      <c r="B171" t="s">
        <v>42</v>
      </c>
      <c r="C171" t="s">
        <v>293</v>
      </c>
      <c r="E171" t="s">
        <v>54</v>
      </c>
    </row>
    <row r="172" spans="8:8">
      <c r="A172">
        <v>171.0</v>
      </c>
      <c r="B172" t="s">
        <v>42</v>
      </c>
      <c r="C172" t="s">
        <v>294</v>
      </c>
      <c r="E172" t="s">
        <v>54</v>
      </c>
    </row>
    <row r="173" spans="8:8">
      <c r="A173">
        <v>172.0</v>
      </c>
      <c r="B173" t="s">
        <v>42</v>
      </c>
      <c r="C173" t="s">
        <v>295</v>
      </c>
      <c r="E173" t="s">
        <v>54</v>
      </c>
    </row>
    <row r="174" spans="8:8">
      <c r="A174">
        <v>173.0</v>
      </c>
      <c r="B174" t="s">
        <v>39</v>
      </c>
      <c r="C174" t="s">
        <v>296</v>
      </c>
      <c r="E174" t="s">
        <v>54</v>
      </c>
    </row>
    <row r="175" spans="8:8">
      <c r="A175">
        <v>174.0</v>
      </c>
      <c r="B175" t="s">
        <v>42</v>
      </c>
      <c r="C175" t="s">
        <v>297</v>
      </c>
      <c r="E175" t="s">
        <v>54</v>
      </c>
    </row>
    <row r="176" spans="8:8">
      <c r="A176">
        <v>175.0</v>
      </c>
      <c r="B176" t="s">
        <v>42</v>
      </c>
      <c r="C176" t="s">
        <v>298</v>
      </c>
      <c r="E176" t="s">
        <v>54</v>
      </c>
    </row>
    <row r="177" spans="8:8">
      <c r="A177">
        <v>176.0</v>
      </c>
      <c r="B177" t="s">
        <v>30</v>
      </c>
      <c r="C177" t="s">
        <v>299</v>
      </c>
      <c r="E177" t="s">
        <v>54</v>
      </c>
    </row>
    <row r="178" spans="8:8">
      <c r="A178">
        <v>177.0</v>
      </c>
      <c r="B178" t="s">
        <v>33</v>
      </c>
      <c r="C178" t="s">
        <v>300</v>
      </c>
      <c r="E178" t="s">
        <v>54</v>
      </c>
    </row>
    <row r="179" spans="8:8">
      <c r="A179">
        <v>178.0</v>
      </c>
      <c r="B179" t="s">
        <v>42</v>
      </c>
      <c r="C179" t="s">
        <v>301</v>
      </c>
      <c r="E179" t="s">
        <v>54</v>
      </c>
    </row>
    <row r="180" spans="8:8">
      <c r="A180">
        <v>179.0</v>
      </c>
      <c r="B180" t="s">
        <v>42</v>
      </c>
      <c r="C180" t="s">
        <v>302</v>
      </c>
      <c r="E180" t="s">
        <v>54</v>
      </c>
    </row>
    <row r="181" spans="8:8">
      <c r="A181">
        <v>180.0</v>
      </c>
      <c r="B181" t="s">
        <v>39</v>
      </c>
      <c r="C181" t="s">
        <v>303</v>
      </c>
      <c r="E181" t="s">
        <v>54</v>
      </c>
    </row>
    <row r="182" spans="8:8">
      <c r="A182">
        <v>181.0</v>
      </c>
      <c r="B182" t="s">
        <v>42</v>
      </c>
      <c r="C182" t="s">
        <v>304</v>
      </c>
      <c r="E182" t="s">
        <v>54</v>
      </c>
    </row>
    <row r="183" spans="8:8">
      <c r="A183">
        <v>182.0</v>
      </c>
      <c r="B183" t="s">
        <v>39</v>
      </c>
      <c r="C183" t="s">
        <v>305</v>
      </c>
      <c r="E183" t="s">
        <v>54</v>
      </c>
    </row>
    <row r="184" spans="8:8">
      <c r="A184">
        <v>183.0</v>
      </c>
      <c r="B184" t="s">
        <v>42</v>
      </c>
      <c r="C184" t="s">
        <v>306</v>
      </c>
      <c r="E184" t="s">
        <v>54</v>
      </c>
    </row>
    <row r="185" spans="8:8">
      <c r="A185">
        <v>184.0</v>
      </c>
      <c r="B185" t="s">
        <v>30</v>
      </c>
      <c r="C185" t="s">
        <v>222</v>
      </c>
      <c r="E185" t="s">
        <v>54</v>
      </c>
    </row>
    <row r="186" spans="8:8">
      <c r="A186">
        <v>185.0</v>
      </c>
      <c r="B186" t="s">
        <v>42</v>
      </c>
      <c r="C186" t="s">
        <v>307</v>
      </c>
      <c r="E186" t="s">
        <v>54</v>
      </c>
    </row>
    <row r="187" spans="8:8">
      <c r="A187">
        <v>186.0</v>
      </c>
      <c r="B187" t="s">
        <v>30</v>
      </c>
      <c r="C187" t="s">
        <v>308</v>
      </c>
      <c r="E187" t="s">
        <v>54</v>
      </c>
    </row>
    <row r="188" spans="8:8">
      <c r="A188">
        <v>187.0</v>
      </c>
      <c r="B188" t="s">
        <v>42</v>
      </c>
      <c r="C188" t="s">
        <v>309</v>
      </c>
      <c r="E188" t="s">
        <v>54</v>
      </c>
    </row>
    <row r="189" spans="8:8">
      <c r="A189">
        <v>188.0</v>
      </c>
      <c r="B189" t="s">
        <v>42</v>
      </c>
      <c r="C189" t="s">
        <v>310</v>
      </c>
      <c r="E189" t="s">
        <v>54</v>
      </c>
    </row>
    <row r="190" spans="8:8">
      <c r="A190">
        <v>189.0</v>
      </c>
      <c r="B190" t="s">
        <v>39</v>
      </c>
      <c r="C190" t="s">
        <v>311</v>
      </c>
      <c r="E190" t="s">
        <v>54</v>
      </c>
    </row>
    <row r="191" spans="8:8">
      <c r="A191">
        <v>190.0</v>
      </c>
      <c r="B191" t="s">
        <v>42</v>
      </c>
      <c r="C191" t="s">
        <v>312</v>
      </c>
      <c r="E191" t="s">
        <v>54</v>
      </c>
    </row>
    <row r="192" spans="8:8">
      <c r="A192">
        <v>191.0</v>
      </c>
      <c r="B192" t="s">
        <v>39</v>
      </c>
      <c r="C192" t="s">
        <v>313</v>
      </c>
      <c r="E192" t="s">
        <v>54</v>
      </c>
    </row>
    <row r="193" spans="8:8">
      <c r="A193">
        <v>192.0</v>
      </c>
      <c r="B193" t="s">
        <v>42</v>
      </c>
      <c r="C193" t="s">
        <v>314</v>
      </c>
      <c r="E193" t="s">
        <v>54</v>
      </c>
    </row>
    <row r="194" spans="8:8">
      <c r="A194">
        <v>193.0</v>
      </c>
      <c r="B194" t="s">
        <v>39</v>
      </c>
      <c r="C194" t="s">
        <v>315</v>
      </c>
      <c r="E194" t="s">
        <v>54</v>
      </c>
    </row>
    <row r="195" spans="8:8">
      <c r="A195">
        <v>194.0</v>
      </c>
      <c r="B195" t="s">
        <v>39</v>
      </c>
      <c r="C195" t="s">
        <v>316</v>
      </c>
      <c r="E195" t="s">
        <v>54</v>
      </c>
    </row>
    <row r="196" spans="8:8">
      <c r="A196">
        <v>195.0</v>
      </c>
      <c r="B196" t="s">
        <v>39</v>
      </c>
      <c r="C196" t="s">
        <v>317</v>
      </c>
      <c r="E196" t="s">
        <v>54</v>
      </c>
    </row>
    <row r="197" spans="8:8">
      <c r="A197">
        <v>196.0</v>
      </c>
      <c r="B197" t="s">
        <v>39</v>
      </c>
      <c r="C197" t="s">
        <v>318</v>
      </c>
      <c r="E197" t="s">
        <v>54</v>
      </c>
    </row>
    <row r="198" spans="8:8">
      <c r="A198">
        <v>197.0</v>
      </c>
      <c r="B198" t="s">
        <v>39</v>
      </c>
      <c r="C198" t="s">
        <v>319</v>
      </c>
      <c r="E198" t="s">
        <v>54</v>
      </c>
    </row>
    <row r="199" spans="8:8">
      <c r="A199">
        <v>198.0</v>
      </c>
      <c r="B199" t="s">
        <v>39</v>
      </c>
      <c r="C199" t="s">
        <v>320</v>
      </c>
      <c r="E199" t="s">
        <v>54</v>
      </c>
    </row>
    <row r="200" spans="8:8">
      <c r="A200">
        <v>199.0</v>
      </c>
      <c r="B200" t="s">
        <v>42</v>
      </c>
      <c r="C200" t="s">
        <v>321</v>
      </c>
      <c r="E200" t="s">
        <v>54</v>
      </c>
    </row>
    <row r="201" spans="8:8">
      <c r="A201">
        <v>200.0</v>
      </c>
      <c r="B201" t="s">
        <v>42</v>
      </c>
      <c r="C201" t="s">
        <v>322</v>
      </c>
      <c r="E201" t="s">
        <v>54</v>
      </c>
    </row>
    <row r="202" spans="8:8">
      <c r="A202">
        <v>201.0</v>
      </c>
      <c r="B202" t="s">
        <v>42</v>
      </c>
      <c r="C202" t="s">
        <v>323</v>
      </c>
      <c r="E202" t="s">
        <v>54</v>
      </c>
    </row>
    <row r="203" spans="8:8">
      <c r="A203">
        <v>202.0</v>
      </c>
      <c r="B203" t="s">
        <v>42</v>
      </c>
      <c r="C203" t="s">
        <v>324</v>
      </c>
      <c r="E203" t="s">
        <v>54</v>
      </c>
    </row>
    <row r="204" spans="8:8">
      <c r="A204">
        <v>203.0</v>
      </c>
      <c r="B204" t="s">
        <v>39</v>
      </c>
      <c r="C204" t="s">
        <v>325</v>
      </c>
      <c r="E204" t="s">
        <v>54</v>
      </c>
    </row>
    <row r="205" spans="8:8">
      <c r="A205">
        <v>204.0</v>
      </c>
      <c r="B205" t="s">
        <v>42</v>
      </c>
      <c r="C205" t="s">
        <v>326</v>
      </c>
      <c r="E205" t="s">
        <v>54</v>
      </c>
    </row>
    <row r="206" spans="8:8">
      <c r="A206">
        <v>205.0</v>
      </c>
      <c r="B206" t="s">
        <v>42</v>
      </c>
      <c r="C206" t="s">
        <v>327</v>
      </c>
      <c r="E206" t="s">
        <v>54</v>
      </c>
    </row>
    <row r="207" spans="8:8">
      <c r="A207">
        <v>206.0</v>
      </c>
      <c r="B207" t="s">
        <v>39</v>
      </c>
      <c r="C207" t="s">
        <v>328</v>
      </c>
      <c r="E207" t="s">
        <v>54</v>
      </c>
    </row>
    <row r="208" spans="8:8">
      <c r="A208">
        <v>207.0</v>
      </c>
      <c r="B208" t="s">
        <v>42</v>
      </c>
      <c r="C208" t="s">
        <v>329</v>
      </c>
      <c r="E208" t="s">
        <v>54</v>
      </c>
    </row>
    <row r="209" spans="8:8">
      <c r="A209">
        <v>208.0</v>
      </c>
      <c r="B209" t="s">
        <v>42</v>
      </c>
      <c r="C209" t="s">
        <v>330</v>
      </c>
      <c r="E209" t="s">
        <v>54</v>
      </c>
    </row>
    <row r="210" spans="8:8">
      <c r="A210">
        <v>209.0</v>
      </c>
      <c r="B210" t="s">
        <v>39</v>
      </c>
      <c r="C210" t="s">
        <v>331</v>
      </c>
      <c r="E210" t="s">
        <v>54</v>
      </c>
    </row>
    <row r="211" spans="8:8">
      <c r="A211">
        <v>210.0</v>
      </c>
      <c r="B211" t="s">
        <v>39</v>
      </c>
      <c r="C211" t="s">
        <v>332</v>
      </c>
      <c r="E211" t="s">
        <v>54</v>
      </c>
    </row>
    <row r="212" spans="8:8">
      <c r="A212">
        <v>211.0</v>
      </c>
      <c r="B212" t="s">
        <v>42</v>
      </c>
      <c r="C212" t="s">
        <v>333</v>
      </c>
      <c r="E212" t="s">
        <v>54</v>
      </c>
    </row>
    <row r="213" spans="8:8">
      <c r="A213">
        <v>212.0</v>
      </c>
      <c r="B213" t="s">
        <v>42</v>
      </c>
      <c r="C213" t="s">
        <v>334</v>
      </c>
      <c r="E213" t="s">
        <v>54</v>
      </c>
    </row>
    <row r="214" spans="8:8">
      <c r="A214">
        <v>213.0</v>
      </c>
      <c r="B214" t="s">
        <v>39</v>
      </c>
      <c r="C214" t="s">
        <v>335</v>
      </c>
      <c r="E214" t="s">
        <v>54</v>
      </c>
    </row>
    <row r="215" spans="8:8">
      <c r="A215">
        <v>214.0</v>
      </c>
      <c r="B215" t="s">
        <v>42</v>
      </c>
      <c r="C215" t="s">
        <v>336</v>
      </c>
      <c r="E215" t="s">
        <v>54</v>
      </c>
    </row>
    <row r="216" spans="8:8">
      <c r="A216">
        <v>215.0</v>
      </c>
      <c r="B216" t="s">
        <v>42</v>
      </c>
      <c r="C216" t="s">
        <v>337</v>
      </c>
      <c r="E216" t="s">
        <v>54</v>
      </c>
    </row>
    <row r="217" spans="8:8">
      <c r="A217">
        <v>216.0</v>
      </c>
      <c r="B217" t="s">
        <v>39</v>
      </c>
      <c r="C217" t="s">
        <v>338</v>
      </c>
      <c r="E217" t="s">
        <v>54</v>
      </c>
    </row>
    <row r="218" spans="8:8">
      <c r="A218">
        <v>217.0</v>
      </c>
      <c r="B218" t="s">
        <v>39</v>
      </c>
      <c r="C218" t="s">
        <v>339</v>
      </c>
      <c r="E218" t="s">
        <v>54</v>
      </c>
    </row>
    <row r="219" spans="8:8">
      <c r="A219">
        <v>218.0</v>
      </c>
      <c r="B219" t="s">
        <v>42</v>
      </c>
      <c r="C219" t="s">
        <v>340</v>
      </c>
      <c r="E219" t="s">
        <v>54</v>
      </c>
    </row>
    <row r="220" spans="8:8">
      <c r="A220">
        <v>219.0</v>
      </c>
      <c r="B220" t="s">
        <v>42</v>
      </c>
      <c r="C220" t="s">
        <v>341</v>
      </c>
      <c r="E220" t="s">
        <v>54</v>
      </c>
    </row>
    <row r="221" spans="8:8">
      <c r="A221">
        <v>220.0</v>
      </c>
      <c r="B221" t="s">
        <v>39</v>
      </c>
      <c r="C221" t="s">
        <v>342</v>
      </c>
      <c r="E221" t="s">
        <v>54</v>
      </c>
    </row>
    <row r="222" spans="8:8">
      <c r="A222">
        <v>221.0</v>
      </c>
      <c r="B222" t="s">
        <v>39</v>
      </c>
      <c r="C222" t="s">
        <v>343</v>
      </c>
      <c r="E222" t="s">
        <v>54</v>
      </c>
    </row>
    <row r="223" spans="8:8">
      <c r="A223">
        <v>222.0</v>
      </c>
      <c r="B223" t="s">
        <v>39</v>
      </c>
      <c r="C223" t="s">
        <v>344</v>
      </c>
      <c r="E223" t="s">
        <v>54</v>
      </c>
    </row>
    <row r="224" spans="8:8">
      <c r="A224">
        <v>223.0</v>
      </c>
      <c r="B224" t="s">
        <v>39</v>
      </c>
      <c r="C224" t="s">
        <v>345</v>
      </c>
      <c r="E224" t="s">
        <v>54</v>
      </c>
    </row>
    <row r="225" spans="8:8">
      <c r="A225">
        <v>224.0</v>
      </c>
      <c r="B225" t="s">
        <v>39</v>
      </c>
      <c r="C225" t="s">
        <v>346</v>
      </c>
      <c r="E225" t="s">
        <v>54</v>
      </c>
    </row>
    <row r="226" spans="8:8">
      <c r="A226">
        <v>225.0</v>
      </c>
      <c r="B226" t="s">
        <v>39</v>
      </c>
      <c r="C226" t="s">
        <v>347</v>
      </c>
      <c r="E226" t="s">
        <v>54</v>
      </c>
    </row>
    <row r="227" spans="8:8">
      <c r="A227">
        <v>226.0</v>
      </c>
      <c r="B227" t="s">
        <v>39</v>
      </c>
      <c r="C227" t="s">
        <v>348</v>
      </c>
      <c r="E227" t="s">
        <v>54</v>
      </c>
    </row>
    <row r="228" spans="8:8">
      <c r="A228">
        <v>227.0</v>
      </c>
      <c r="B228" t="s">
        <v>39</v>
      </c>
      <c r="C228" t="s">
        <v>349</v>
      </c>
      <c r="E228" t="s">
        <v>54</v>
      </c>
    </row>
    <row r="229" spans="8:8">
      <c r="A229">
        <v>228.0</v>
      </c>
      <c r="B229" t="s">
        <v>42</v>
      </c>
      <c r="C229" t="s">
        <v>350</v>
      </c>
      <c r="E229" t="s">
        <v>54</v>
      </c>
    </row>
    <row r="230" spans="8:8">
      <c r="A230">
        <v>229.0</v>
      </c>
      <c r="B230" t="s">
        <v>42</v>
      </c>
      <c r="C230" t="s">
        <v>351</v>
      </c>
      <c r="E230" t="s">
        <v>54</v>
      </c>
    </row>
    <row r="231" spans="8:8">
      <c r="A231">
        <v>230.0</v>
      </c>
      <c r="B231" t="s">
        <v>39</v>
      </c>
      <c r="C231" t="s">
        <v>134</v>
      </c>
      <c r="E231" t="s">
        <v>54</v>
      </c>
    </row>
    <row r="232" spans="8:8">
      <c r="A232">
        <v>231.0</v>
      </c>
      <c r="B232" t="s">
        <v>42</v>
      </c>
      <c r="C232" t="s">
        <v>343</v>
      </c>
      <c r="E232" t="s">
        <v>54</v>
      </c>
    </row>
    <row r="233" spans="8:8">
      <c r="A233">
        <v>232.0</v>
      </c>
      <c r="B233" t="s">
        <v>33</v>
      </c>
      <c r="C233" t="s">
        <v>352</v>
      </c>
      <c r="E233" t="s">
        <v>54</v>
      </c>
    </row>
    <row r="234" spans="8:8">
      <c r="A234">
        <v>233.0</v>
      </c>
      <c r="B234" t="s">
        <v>30</v>
      </c>
      <c r="C234" t="s">
        <v>353</v>
      </c>
      <c r="E234" t="s">
        <v>54</v>
      </c>
    </row>
    <row r="235" spans="8:8">
      <c r="A235">
        <v>234.0</v>
      </c>
      <c r="B235" t="s">
        <v>33</v>
      </c>
      <c r="C235" t="s">
        <v>354</v>
      </c>
      <c r="E235" t="s">
        <v>54</v>
      </c>
    </row>
    <row r="236" spans="8:8">
      <c r="A236">
        <v>235.0</v>
      </c>
      <c r="B236" t="s">
        <v>42</v>
      </c>
      <c r="C236" t="s">
        <v>355</v>
      </c>
      <c r="E236" t="s">
        <v>54</v>
      </c>
    </row>
    <row r="237" spans="8:8">
      <c r="A237">
        <v>236.0</v>
      </c>
      <c r="B237" t="s">
        <v>42</v>
      </c>
      <c r="C237" t="s">
        <v>356</v>
      </c>
      <c r="E237" t="s">
        <v>54</v>
      </c>
    </row>
    <row r="238" spans="8:8">
      <c r="A238">
        <v>237.0</v>
      </c>
      <c r="B238" t="s">
        <v>39</v>
      </c>
      <c r="C238" t="s">
        <v>357</v>
      </c>
      <c r="E238" t="s">
        <v>54</v>
      </c>
    </row>
    <row r="239" spans="8:8">
      <c r="A239">
        <v>238.0</v>
      </c>
      <c r="B239" t="s">
        <v>39</v>
      </c>
      <c r="C239" t="s">
        <v>358</v>
      </c>
      <c r="E239" t="s">
        <v>54</v>
      </c>
    </row>
    <row r="240" spans="8:8">
      <c r="A240">
        <v>239.0</v>
      </c>
      <c r="B240" t="s">
        <v>42</v>
      </c>
      <c r="C240" t="s">
        <v>359</v>
      </c>
      <c r="E240" t="s">
        <v>54</v>
      </c>
    </row>
    <row r="241" spans="8:8">
      <c r="A241">
        <v>240.0</v>
      </c>
      <c r="B241" t="s">
        <v>42</v>
      </c>
      <c r="C241" t="s">
        <v>360</v>
      </c>
      <c r="E241" t="s">
        <v>54</v>
      </c>
    </row>
    <row r="242" spans="8:8">
      <c r="A242">
        <v>241.0</v>
      </c>
      <c r="B242" t="s">
        <v>30</v>
      </c>
      <c r="C242" t="s">
        <v>361</v>
      </c>
      <c r="E242" t="s">
        <v>54</v>
      </c>
    </row>
    <row r="243" spans="8:8">
      <c r="A243">
        <v>242.0</v>
      </c>
      <c r="B243" t="s">
        <v>33</v>
      </c>
      <c r="C243" t="s">
        <v>362</v>
      </c>
      <c r="E243" t="s">
        <v>54</v>
      </c>
    </row>
    <row r="244" spans="8:8">
      <c r="A244">
        <v>243.0</v>
      </c>
      <c r="B244" t="s">
        <v>33</v>
      </c>
      <c r="C244" t="s">
        <v>363</v>
      </c>
      <c r="E244" t="s">
        <v>54</v>
      </c>
    </row>
    <row r="245" spans="8:8">
      <c r="A245">
        <v>244.0</v>
      </c>
      <c r="B245" t="s">
        <v>33</v>
      </c>
      <c r="C245" t="s">
        <v>364</v>
      </c>
      <c r="E245" t="s">
        <v>54</v>
      </c>
    </row>
    <row r="246" spans="8:8">
      <c r="A246">
        <v>245.0</v>
      </c>
      <c r="B246" t="s">
        <v>33</v>
      </c>
      <c r="C246" t="s">
        <v>365</v>
      </c>
      <c r="E246" t="s">
        <v>54</v>
      </c>
    </row>
    <row r="247" spans="8:8">
      <c r="A247">
        <v>246.0</v>
      </c>
      <c r="B247" t="s">
        <v>33</v>
      </c>
      <c r="C247" t="s">
        <v>366</v>
      </c>
      <c r="E247" t="s">
        <v>54</v>
      </c>
    </row>
    <row r="248" spans="8:8">
      <c r="A248">
        <v>247.0</v>
      </c>
      <c r="B248" t="s">
        <v>33</v>
      </c>
      <c r="C248" t="s">
        <v>367</v>
      </c>
      <c r="E248" t="s">
        <v>54</v>
      </c>
    </row>
    <row r="249" spans="8:8">
      <c r="A249">
        <v>248.0</v>
      </c>
      <c r="B249" t="s">
        <v>33</v>
      </c>
      <c r="C249" t="s">
        <v>368</v>
      </c>
      <c r="E249" t="s">
        <v>54</v>
      </c>
    </row>
    <row r="250" spans="8:8">
      <c r="A250">
        <v>249.0</v>
      </c>
      <c r="B250" t="s">
        <v>39</v>
      </c>
      <c r="C250" t="s">
        <v>369</v>
      </c>
      <c r="E250" t="s">
        <v>54</v>
      </c>
    </row>
    <row r="251" spans="8:8">
      <c r="A251">
        <v>250.0</v>
      </c>
      <c r="B251" t="s">
        <v>42</v>
      </c>
      <c r="C251" t="s">
        <v>370</v>
      </c>
      <c r="E251" t="s">
        <v>54</v>
      </c>
    </row>
    <row r="252" spans="8:8">
      <c r="A252">
        <v>251.0</v>
      </c>
      <c r="B252" t="s">
        <v>42</v>
      </c>
      <c r="C252" t="s">
        <v>371</v>
      </c>
      <c r="E252" t="s">
        <v>54</v>
      </c>
    </row>
    <row r="253" spans="8:8">
      <c r="A253">
        <v>252.0</v>
      </c>
      <c r="B253" t="s">
        <v>42</v>
      </c>
      <c r="C253" t="s">
        <v>372</v>
      </c>
      <c r="E253" t="s">
        <v>54</v>
      </c>
    </row>
    <row r="254" spans="8:8">
      <c r="A254">
        <v>253.0</v>
      </c>
      <c r="B254" t="s">
        <v>39</v>
      </c>
      <c r="C254" t="s">
        <v>373</v>
      </c>
      <c r="E254" t="s">
        <v>54</v>
      </c>
    </row>
    <row r="255" spans="8:8">
      <c r="A255">
        <v>254.0</v>
      </c>
      <c r="B255" t="s">
        <v>42</v>
      </c>
      <c r="C255" t="s">
        <v>374</v>
      </c>
      <c r="E255" t="s">
        <v>54</v>
      </c>
    </row>
    <row r="256" spans="8:8">
      <c r="A256">
        <v>255.0</v>
      </c>
      <c r="B256" t="s">
        <v>39</v>
      </c>
      <c r="C256" t="s">
        <v>375</v>
      </c>
      <c r="E256" t="s">
        <v>54</v>
      </c>
    </row>
    <row r="257" spans="8:8">
      <c r="A257">
        <v>256.0</v>
      </c>
      <c r="B257" s="37" t="s">
        <v>30</v>
      </c>
      <c r="C257" s="37" t="s">
        <v>376</v>
      </c>
      <c r="D257" s="37" t="s">
        <v>377</v>
      </c>
    </row>
    <row r="258" spans="8:8">
      <c r="A258">
        <v>257.0</v>
      </c>
      <c r="B258" s="37" t="s">
        <v>30</v>
      </c>
      <c r="C258" s="37" t="s">
        <v>378</v>
      </c>
      <c r="D258" s="37" t="s">
        <v>379</v>
      </c>
    </row>
    <row r="259" spans="8:8">
      <c r="A259">
        <v>258.0</v>
      </c>
      <c r="B259" s="37" t="s">
        <v>30</v>
      </c>
      <c r="C259" s="37" t="s">
        <v>380</v>
      </c>
      <c r="D259" s="37" t="s">
        <v>381</v>
      </c>
    </row>
    <row r="260" spans="8:8">
      <c r="A260">
        <v>259.0</v>
      </c>
      <c r="B260" s="37" t="s">
        <v>39</v>
      </c>
      <c r="C260" s="37" t="s">
        <v>382</v>
      </c>
      <c r="D260" s="37" t="s">
        <v>383</v>
      </c>
    </row>
    <row r="261" spans="8:8">
      <c r="A261">
        <v>260.0</v>
      </c>
      <c r="B261" s="37" t="s">
        <v>30</v>
      </c>
      <c r="C261" s="37" t="s">
        <v>384</v>
      </c>
      <c r="D261" s="37" t="s">
        <v>385</v>
      </c>
    </row>
    <row r="262" spans="8:8">
      <c r="A262">
        <v>261.0</v>
      </c>
      <c r="B262" s="37" t="s">
        <v>30</v>
      </c>
      <c r="C262" s="37" t="s">
        <v>386</v>
      </c>
      <c r="D262" s="37" t="s">
        <v>387</v>
      </c>
    </row>
    <row r="263" spans="8:8">
      <c r="A263">
        <v>262.0</v>
      </c>
      <c r="B263" s="37" t="s">
        <v>30</v>
      </c>
      <c r="C263" s="37" t="s">
        <v>388</v>
      </c>
      <c r="D263" s="37" t="s">
        <v>389</v>
      </c>
    </row>
    <row r="264" spans="8:8">
      <c r="A264">
        <v>263.0</v>
      </c>
      <c r="B264" s="37" t="s">
        <v>30</v>
      </c>
      <c r="C264" s="37" t="s">
        <v>390</v>
      </c>
      <c r="D264" s="37" t="s">
        <v>391</v>
      </c>
    </row>
    <row r="265" spans="8:8">
      <c r="A265">
        <v>264.0</v>
      </c>
      <c r="B265" s="37" t="s">
        <v>30</v>
      </c>
      <c r="C265" s="37" t="s">
        <v>392</v>
      </c>
      <c r="D265" s="37" t="s">
        <v>393</v>
      </c>
    </row>
    <row r="266" spans="8:8">
      <c r="A266">
        <v>265.0</v>
      </c>
      <c r="B266" s="37" t="s">
        <v>30</v>
      </c>
      <c r="C266" s="37" t="s">
        <v>394</v>
      </c>
      <c r="D266" s="37" t="s">
        <v>395</v>
      </c>
    </row>
    <row r="267" spans="8:8">
      <c r="A267">
        <v>266.0</v>
      </c>
      <c r="B267" s="37" t="s">
        <v>30</v>
      </c>
      <c r="C267" s="37" t="s">
        <v>396</v>
      </c>
      <c r="D267" s="37" t="s">
        <v>397</v>
      </c>
    </row>
    <row r="268" spans="8:8">
      <c r="A268">
        <v>267.0</v>
      </c>
      <c r="B268" s="37" t="s">
        <v>30</v>
      </c>
      <c r="C268" s="37" t="s">
        <v>398</v>
      </c>
      <c r="D268" s="37" t="s">
        <v>399</v>
      </c>
    </row>
    <row r="269" spans="8:8">
      <c r="A269">
        <v>268.0</v>
      </c>
      <c r="B269" s="37" t="s">
        <v>33</v>
      </c>
      <c r="C269" s="37" t="s">
        <v>400</v>
      </c>
      <c r="D269" s="37" t="s">
        <v>401</v>
      </c>
    </row>
    <row r="270" spans="8:8">
      <c r="A270">
        <v>269.0</v>
      </c>
      <c r="B270" s="37" t="s">
        <v>36</v>
      </c>
      <c r="C270" s="37" t="s">
        <v>402</v>
      </c>
      <c r="D270" s="37" t="s">
        <v>403</v>
      </c>
    </row>
    <row r="271" spans="8:8">
      <c r="A271">
        <v>270.0</v>
      </c>
      <c r="B271" s="37" t="s">
        <v>36</v>
      </c>
      <c r="C271" s="37" t="s">
        <v>404</v>
      </c>
      <c r="D271" s="37" t="s">
        <v>405</v>
      </c>
    </row>
    <row r="272" spans="8:8">
      <c r="A272">
        <v>271.0</v>
      </c>
      <c r="B272" s="37" t="s">
        <v>36</v>
      </c>
      <c r="C272" s="37" t="s">
        <v>406</v>
      </c>
      <c r="D272" s="37" t="s">
        <v>407</v>
      </c>
    </row>
    <row r="273" spans="8:8">
      <c r="A273">
        <v>272.0</v>
      </c>
      <c r="B273" s="37" t="s">
        <v>36</v>
      </c>
      <c r="C273" s="37" t="s">
        <v>408</v>
      </c>
      <c r="D273" s="37" t="s">
        <v>409</v>
      </c>
    </row>
    <row r="274" spans="8:8">
      <c r="A274">
        <v>273.0</v>
      </c>
      <c r="B274" s="37" t="s">
        <v>36</v>
      </c>
      <c r="C274" s="37" t="s">
        <v>410</v>
      </c>
      <c r="D274" s="37" t="s">
        <v>411</v>
      </c>
    </row>
    <row r="275" spans="8:8">
      <c r="A275">
        <v>274.0</v>
      </c>
      <c r="B275" s="37" t="s">
        <v>39</v>
      </c>
      <c r="C275" s="37" t="s">
        <v>412</v>
      </c>
      <c r="D275" s="37" t="s">
        <v>413</v>
      </c>
    </row>
    <row r="276" spans="8:8">
      <c r="A276">
        <v>275.0</v>
      </c>
      <c r="B276" s="37" t="s">
        <v>36</v>
      </c>
      <c r="C276" s="37" t="s">
        <v>414</v>
      </c>
      <c r="D276" s="37" t="s">
        <v>415</v>
      </c>
    </row>
    <row r="277" spans="8:8">
      <c r="A277">
        <v>276.0</v>
      </c>
      <c r="B277" s="37" t="s">
        <v>36</v>
      </c>
      <c r="C277" s="37" t="s">
        <v>416</v>
      </c>
      <c r="D277" s="37" t="s">
        <v>417</v>
      </c>
    </row>
    <row r="278" spans="8:8">
      <c r="A278">
        <v>277.0</v>
      </c>
      <c r="B278" s="37" t="s">
        <v>39</v>
      </c>
      <c r="C278" s="37" t="s">
        <v>418</v>
      </c>
      <c r="D278" s="37" t="s">
        <v>419</v>
      </c>
    </row>
    <row r="279" spans="8:8">
      <c r="A279">
        <v>278.0</v>
      </c>
      <c r="B279" s="37" t="s">
        <v>36</v>
      </c>
      <c r="C279" s="37" t="s">
        <v>420</v>
      </c>
      <c r="D279" s="37" t="s">
        <v>421</v>
      </c>
    </row>
    <row r="280" spans="8:8">
      <c r="A280">
        <v>279.0</v>
      </c>
      <c r="B280" s="37" t="s">
        <v>36</v>
      </c>
      <c r="C280" s="37" t="s">
        <v>422</v>
      </c>
      <c r="D280" s="37" t="s">
        <v>423</v>
      </c>
    </row>
    <row r="281" spans="8:8">
      <c r="A281">
        <v>280.0</v>
      </c>
      <c r="B281" s="37" t="s">
        <v>30</v>
      </c>
      <c r="C281" s="37" t="s">
        <v>424</v>
      </c>
      <c r="D281" s="37" t="s">
        <v>425</v>
      </c>
    </row>
    <row r="282" spans="8:8">
      <c r="A282">
        <v>281.0</v>
      </c>
      <c r="B282" t="s">
        <v>36</v>
      </c>
      <c r="C282" t="s">
        <v>426</v>
      </c>
      <c r="D282" t="s">
        <v>427</v>
      </c>
    </row>
    <row r="283" spans="8:8">
      <c r="A283">
        <v>282.0</v>
      </c>
      <c r="B283" t="s">
        <v>36</v>
      </c>
      <c r="C283" t="s">
        <v>428</v>
      </c>
      <c r="D283" t="s">
        <v>429</v>
      </c>
    </row>
    <row r="284" spans="8:8">
      <c r="A284">
        <v>283.0</v>
      </c>
      <c r="B284" t="s">
        <v>36</v>
      </c>
      <c r="C284" t="s">
        <v>430</v>
      </c>
      <c r="D284" t="s">
        <v>431</v>
      </c>
    </row>
    <row r="285" spans="8:8">
      <c r="A285">
        <v>284.0</v>
      </c>
      <c r="B285" t="s">
        <v>36</v>
      </c>
      <c r="C285" t="s">
        <v>432</v>
      </c>
      <c r="D285" t="s">
        <v>433</v>
      </c>
    </row>
    <row r="286" spans="8:8">
      <c r="A286">
        <v>285.0</v>
      </c>
      <c r="B286" t="s">
        <v>36</v>
      </c>
      <c r="C286" t="s">
        <v>434</v>
      </c>
      <c r="D286" t="s">
        <v>435</v>
      </c>
    </row>
    <row r="287" spans="8:8">
      <c r="A287">
        <v>286.0</v>
      </c>
      <c r="B287" t="s">
        <v>36</v>
      </c>
      <c r="C287" t="s">
        <v>436</v>
      </c>
      <c r="D287" t="s">
        <v>437</v>
      </c>
    </row>
    <row r="288" spans="8:8">
      <c r="A288">
        <v>287.0</v>
      </c>
      <c r="B288" t="s">
        <v>36</v>
      </c>
      <c r="C288" t="s">
        <v>438</v>
      </c>
      <c r="D288" t="s">
        <v>439</v>
      </c>
    </row>
    <row r="289" spans="8:8">
      <c r="A289">
        <v>288.0</v>
      </c>
      <c r="B289" t="s">
        <v>30</v>
      </c>
      <c r="C289" t="s">
        <v>440</v>
      </c>
      <c r="D289" t="s">
        <v>441</v>
      </c>
    </row>
    <row r="290" spans="8:8">
      <c r="A290">
        <v>289.0</v>
      </c>
      <c r="B290" t="s">
        <v>30</v>
      </c>
      <c r="C290" t="s">
        <v>442</v>
      </c>
      <c r="D290" t="s">
        <v>443</v>
      </c>
    </row>
    <row r="291" spans="8:8">
      <c r="A291">
        <v>290.0</v>
      </c>
      <c r="B291" t="s">
        <v>30</v>
      </c>
      <c r="C291" t="s">
        <v>444</v>
      </c>
      <c r="D291" t="s">
        <v>445</v>
      </c>
    </row>
    <row r="292" spans="8:8">
      <c r="A292">
        <v>291.0</v>
      </c>
      <c r="B292" t="s">
        <v>33</v>
      </c>
      <c r="C292" t="s">
        <v>446</v>
      </c>
      <c r="D292" t="s">
        <v>447</v>
      </c>
    </row>
    <row r="293" spans="8:8">
      <c r="A293">
        <v>292.0</v>
      </c>
      <c r="B293" t="s">
        <v>39</v>
      </c>
      <c r="C293" t="s">
        <v>448</v>
      </c>
      <c r="D293" t="s">
        <v>449</v>
      </c>
    </row>
    <row r="294" spans="8:8">
      <c r="A294">
        <v>293.0</v>
      </c>
      <c r="B294" t="s">
        <v>42</v>
      </c>
      <c r="C294" t="s">
        <v>450</v>
      </c>
      <c r="D294" t="s">
        <v>451</v>
      </c>
    </row>
    <row r="295" spans="8:8">
      <c r="A295">
        <v>294.0</v>
      </c>
      <c r="B295" t="s">
        <v>33</v>
      </c>
      <c r="C295" t="s">
        <v>452</v>
      </c>
      <c r="D295" t="s">
        <v>453</v>
      </c>
    </row>
    <row r="296" spans="8:8">
      <c r="A296">
        <v>295.0</v>
      </c>
      <c r="B296" t="s">
        <v>36</v>
      </c>
      <c r="C296" t="s">
        <v>454</v>
      </c>
      <c r="D296" t="s">
        <v>455</v>
      </c>
    </row>
    <row r="297" spans="8:8">
      <c r="A297">
        <v>296.0</v>
      </c>
      <c r="B297" t="s">
        <v>30</v>
      </c>
      <c r="C297" t="s">
        <v>456</v>
      </c>
      <c r="D297" t="s">
        <v>457</v>
      </c>
    </row>
    <row r="298" spans="8:8">
      <c r="A298">
        <v>297.0</v>
      </c>
      <c r="B298" t="s">
        <v>30</v>
      </c>
      <c r="C298" t="s">
        <v>458</v>
      </c>
      <c r="D298" t="s">
        <v>459</v>
      </c>
    </row>
    <row r="299" spans="8:8">
      <c r="A299">
        <v>298.0</v>
      </c>
      <c r="B299" t="s">
        <v>30</v>
      </c>
      <c r="C299" t="s">
        <v>460</v>
      </c>
      <c r="D299" t="s">
        <v>461</v>
      </c>
    </row>
    <row r="300" spans="8:8">
      <c r="A300">
        <v>299.0</v>
      </c>
      <c r="B300" t="s">
        <v>36</v>
      </c>
      <c r="C300" t="s">
        <v>462</v>
      </c>
      <c r="D300" t="s">
        <v>463</v>
      </c>
    </row>
    <row r="301" spans="8:8">
      <c r="A301">
        <v>300.0</v>
      </c>
      <c r="B301" t="s">
        <v>39</v>
      </c>
      <c r="C301" t="s">
        <v>464</v>
      </c>
      <c r="D301" t="s">
        <v>465</v>
      </c>
    </row>
    <row r="302" spans="8:8">
      <c r="A302">
        <v>301.0</v>
      </c>
      <c r="B302" t="s">
        <v>36</v>
      </c>
      <c r="C302" t="s">
        <v>466</v>
      </c>
      <c r="D302" t="s">
        <v>467</v>
      </c>
    </row>
    <row r="303" spans="8:8">
      <c r="A303">
        <v>302.0</v>
      </c>
      <c r="B303" s="37" t="s">
        <v>30</v>
      </c>
      <c r="C303" s="37" t="s">
        <v>468</v>
      </c>
      <c r="D303" s="37" t="s">
        <v>469</v>
      </c>
    </row>
    <row r="304" spans="8:8">
      <c r="A304">
        <v>303.0</v>
      </c>
      <c r="B304" s="37" t="s">
        <v>33</v>
      </c>
      <c r="C304" s="37" t="s">
        <v>470</v>
      </c>
      <c r="D304" s="37" t="s">
        <v>471</v>
      </c>
    </row>
    <row r="305" spans="8:8">
      <c r="A305">
        <v>304.0</v>
      </c>
      <c r="B305" s="37" t="s">
        <v>36</v>
      </c>
      <c r="C305" s="37" t="s">
        <v>472</v>
      </c>
      <c r="D305" s="37" t="s">
        <v>473</v>
      </c>
    </row>
    <row r="306" spans="8:8">
      <c r="A306">
        <v>305.0</v>
      </c>
      <c r="B306" s="37" t="s">
        <v>30</v>
      </c>
      <c r="C306" s="37" t="s">
        <v>474</v>
      </c>
      <c r="D306" s="37" t="s">
        <v>475</v>
      </c>
    </row>
    <row r="307" spans="8:8">
      <c r="A307">
        <v>306.0</v>
      </c>
      <c r="B307" s="37" t="s">
        <v>30</v>
      </c>
      <c r="C307" s="37" t="s">
        <v>476</v>
      </c>
      <c r="D307" s="37" t="s">
        <v>477</v>
      </c>
    </row>
    <row r="308" spans="8:8">
      <c r="A308">
        <v>307.0</v>
      </c>
      <c r="B308" s="37" t="s">
        <v>36</v>
      </c>
      <c r="C308" s="37" t="s">
        <v>478</v>
      </c>
      <c r="D308" s="37" t="s">
        <v>479</v>
      </c>
    </row>
    <row r="309" spans="8:8">
      <c r="A309">
        <v>308.0</v>
      </c>
      <c r="B309" s="37" t="s">
        <v>36</v>
      </c>
      <c r="C309" s="37" t="s">
        <v>480</v>
      </c>
      <c r="D309" s="37" t="s">
        <v>481</v>
      </c>
    </row>
    <row r="310" spans="8:8">
      <c r="A310">
        <v>309.0</v>
      </c>
      <c r="B310" s="37" t="s">
        <v>36</v>
      </c>
      <c r="C310" s="37" t="s">
        <v>482</v>
      </c>
      <c r="D310" s="37" t="s">
        <v>483</v>
      </c>
    </row>
    <row r="311" spans="8:8">
      <c r="A311">
        <v>310.0</v>
      </c>
      <c r="B311" s="37" t="s">
        <v>36</v>
      </c>
      <c r="C311" s="37" t="s">
        <v>484</v>
      </c>
      <c r="D311" s="37" t="s">
        <v>485</v>
      </c>
    </row>
    <row r="312" spans="8:8">
      <c r="A312">
        <v>311.0</v>
      </c>
      <c r="B312" s="37" t="s">
        <v>30</v>
      </c>
      <c r="C312" s="37" t="s">
        <v>486</v>
      </c>
      <c r="D312" s="37" t="s">
        <v>487</v>
      </c>
    </row>
    <row r="313" spans="8:8">
      <c r="A313">
        <v>312.0</v>
      </c>
      <c r="B313" s="37" t="s">
        <v>36</v>
      </c>
      <c r="C313" s="37" t="s">
        <v>488</v>
      </c>
      <c r="D313" s="37" t="s">
        <v>489</v>
      </c>
    </row>
    <row r="314" spans="8:8">
      <c r="A314">
        <v>313.0</v>
      </c>
      <c r="B314" s="37" t="s">
        <v>36</v>
      </c>
      <c r="C314" s="37" t="s">
        <v>490</v>
      </c>
      <c r="D314" s="37" t="s">
        <v>491</v>
      </c>
    </row>
    <row r="315" spans="8:8">
      <c r="A315">
        <v>314.0</v>
      </c>
      <c r="B315" s="37" t="s">
        <v>42</v>
      </c>
      <c r="C315" s="37" t="s">
        <v>492</v>
      </c>
      <c r="D315">
        <v>3.1415926</v>
      </c>
    </row>
    <row r="316" spans="8:8">
      <c r="A316">
        <v>315.0</v>
      </c>
      <c r="B316" s="37" t="s">
        <v>42</v>
      </c>
      <c r="C316" s="37" t="s">
        <v>493</v>
      </c>
      <c r="D316" s="37" t="s">
        <v>494</v>
      </c>
    </row>
    <row r="317" spans="8:8">
      <c r="A317">
        <v>316.0</v>
      </c>
      <c r="B317" s="37" t="s">
        <v>30</v>
      </c>
      <c r="C317" s="37" t="s">
        <v>495</v>
      </c>
      <c r="D317" s="37" t="s">
        <v>496</v>
      </c>
    </row>
    <row r="318" spans="8:8">
      <c r="A318">
        <v>317.0</v>
      </c>
      <c r="B318" s="37" t="s">
        <v>30</v>
      </c>
      <c r="C318" s="37" t="s">
        <v>497</v>
      </c>
      <c r="D318" s="37" t="s">
        <v>498</v>
      </c>
    </row>
    <row r="319" spans="8:8">
      <c r="A319">
        <v>318.0</v>
      </c>
      <c r="B319" s="37" t="s">
        <v>33</v>
      </c>
      <c r="C319" s="37" t="s">
        <v>499</v>
      </c>
      <c r="D319" s="37" t="s">
        <v>500</v>
      </c>
    </row>
    <row r="320" spans="8:8">
      <c r="A320">
        <v>319.0</v>
      </c>
      <c r="B320" s="37" t="s">
        <v>36</v>
      </c>
      <c r="C320" s="37" t="s">
        <v>501</v>
      </c>
      <c r="D320" s="37" t="s">
        <v>502</v>
      </c>
    </row>
    <row r="321" spans="8:8">
      <c r="A321">
        <v>320.0</v>
      </c>
      <c r="B321" s="37" t="s">
        <v>30</v>
      </c>
      <c r="C321" s="37" t="s">
        <v>503</v>
      </c>
      <c r="D321" s="37" t="s">
        <v>504</v>
      </c>
    </row>
    <row r="322" spans="8:8">
      <c r="A322">
        <v>321.0</v>
      </c>
      <c r="B322" s="37" t="s">
        <v>39</v>
      </c>
      <c r="C322" s="37" t="s">
        <v>505</v>
      </c>
      <c r="D322" s="37" t="s">
        <v>506</v>
      </c>
    </row>
    <row r="323" spans="8:8">
      <c r="A323">
        <v>322.0</v>
      </c>
      <c r="B323" t="s">
        <v>30</v>
      </c>
      <c r="C323" t="s">
        <v>507</v>
      </c>
      <c r="D323" t="s">
        <v>508</v>
      </c>
    </row>
    <row r="324" spans="8:8">
      <c r="A324">
        <v>323.0</v>
      </c>
      <c r="B324" t="s">
        <v>30</v>
      </c>
      <c r="C324" t="s">
        <v>509</v>
      </c>
      <c r="D324" t="s">
        <v>510</v>
      </c>
    </row>
    <row r="325" spans="8:8">
      <c r="A325">
        <v>324.0</v>
      </c>
      <c r="B325" t="s">
        <v>30</v>
      </c>
      <c r="C325" t="s">
        <v>511</v>
      </c>
      <c r="D325" t="s">
        <v>512</v>
      </c>
    </row>
    <row r="326" spans="8:8">
      <c r="A326">
        <v>325.0</v>
      </c>
      <c r="B326" t="s">
        <v>30</v>
      </c>
      <c r="C326" t="s">
        <v>513</v>
      </c>
      <c r="D326" t="s">
        <v>514</v>
      </c>
    </row>
    <row r="327" spans="8:8">
      <c r="A327">
        <v>326.0</v>
      </c>
      <c r="B327" t="s">
        <v>30</v>
      </c>
      <c r="C327" t="s">
        <v>515</v>
      </c>
      <c r="D327" t="s">
        <v>516</v>
      </c>
    </row>
    <row r="328" spans="8:8">
      <c r="A328">
        <v>327.0</v>
      </c>
      <c r="B328" t="s">
        <v>30</v>
      </c>
      <c r="C328" t="s">
        <v>517</v>
      </c>
      <c r="D328" t="s">
        <v>518</v>
      </c>
    </row>
    <row r="329" spans="8:8">
      <c r="A329">
        <v>328.0</v>
      </c>
      <c r="B329" t="s">
        <v>30</v>
      </c>
      <c r="C329" t="s">
        <v>519</v>
      </c>
      <c r="D329" t="s">
        <v>520</v>
      </c>
    </row>
    <row r="330" spans="8:8">
      <c r="A330">
        <v>329.0</v>
      </c>
      <c r="B330" t="s">
        <v>30</v>
      </c>
      <c r="C330" t="s">
        <v>521</v>
      </c>
      <c r="D330" t="s">
        <v>522</v>
      </c>
    </row>
    <row r="331" spans="8:8">
      <c r="A331">
        <v>330.0</v>
      </c>
      <c r="B331" t="s">
        <v>30</v>
      </c>
      <c r="C331" t="s">
        <v>523</v>
      </c>
      <c r="D331" t="s">
        <v>524</v>
      </c>
    </row>
    <row r="332" spans="8:8">
      <c r="A332">
        <v>331.0</v>
      </c>
      <c r="B332" t="s">
        <v>33</v>
      </c>
      <c r="C332" t="s">
        <v>525</v>
      </c>
      <c r="D332" t="s">
        <v>526</v>
      </c>
    </row>
    <row r="333" spans="8:8">
      <c r="A333">
        <v>332.0</v>
      </c>
      <c r="B333" t="s">
        <v>30</v>
      </c>
      <c r="C333" t="s">
        <v>527</v>
      </c>
      <c r="D333" t="s">
        <v>528</v>
      </c>
    </row>
    <row r="334" spans="8:8">
      <c r="A334">
        <v>333.0</v>
      </c>
      <c r="B334" t="s">
        <v>33</v>
      </c>
      <c r="C334" t="s">
        <v>529</v>
      </c>
      <c r="D334" s="1" t="s">
        <v>530</v>
      </c>
    </row>
    <row r="335" spans="8:8">
      <c r="A335">
        <v>334.0</v>
      </c>
      <c r="B335" t="s">
        <v>30</v>
      </c>
      <c r="C335" t="s">
        <v>531</v>
      </c>
      <c r="D335" t="s">
        <v>532</v>
      </c>
    </row>
    <row r="336" spans="8:8">
      <c r="A336">
        <v>335.0</v>
      </c>
      <c r="B336" t="s">
        <v>30</v>
      </c>
      <c r="C336" t="s">
        <v>533</v>
      </c>
      <c r="D336" t="s">
        <v>534</v>
      </c>
    </row>
    <row r="337" spans="8:8">
      <c r="A337">
        <v>336.0</v>
      </c>
      <c r="B337" t="s">
        <v>30</v>
      </c>
      <c r="C337" t="s">
        <v>535</v>
      </c>
      <c r="D337" t="s">
        <v>536</v>
      </c>
    </row>
    <row r="338" spans="8:8">
      <c r="A338">
        <v>337.0</v>
      </c>
      <c r="B338" t="s">
        <v>30</v>
      </c>
      <c r="C338" t="s">
        <v>537</v>
      </c>
      <c r="D338" t="s">
        <v>538</v>
      </c>
    </row>
    <row r="339" spans="8:8">
      <c r="A339">
        <v>338.0</v>
      </c>
      <c r="B339" t="s">
        <v>30</v>
      </c>
      <c r="C339" t="s">
        <v>539</v>
      </c>
      <c r="D339" t="s">
        <v>540</v>
      </c>
    </row>
    <row r="340" spans="8:8">
      <c r="A340">
        <v>339.0</v>
      </c>
      <c r="B340" t="s">
        <v>30</v>
      </c>
      <c r="C340" t="s">
        <v>541</v>
      </c>
      <c r="D340" t="s">
        <v>542</v>
      </c>
    </row>
    <row r="341" spans="8:8">
      <c r="A341">
        <v>340.0</v>
      </c>
      <c r="B341" t="s">
        <v>30</v>
      </c>
      <c r="C341" t="s">
        <v>543</v>
      </c>
      <c r="D341" t="s">
        <v>544</v>
      </c>
    </row>
    <row r="342" spans="8:8">
      <c r="A342">
        <v>341.0</v>
      </c>
      <c r="B342" t="s">
        <v>30</v>
      </c>
      <c r="C342" t="s">
        <v>545</v>
      </c>
      <c r="D342" t="s">
        <v>546</v>
      </c>
    </row>
    <row r="343" spans="8:8">
      <c r="A343">
        <v>342.0</v>
      </c>
      <c r="B343" t="s">
        <v>30</v>
      </c>
      <c r="C343" t="s">
        <v>547</v>
      </c>
      <c r="D343" t="s">
        <v>548</v>
      </c>
    </row>
    <row r="344" spans="8:8">
      <c r="A344">
        <v>343.0</v>
      </c>
      <c r="B344" t="s">
        <v>30</v>
      </c>
      <c r="C344" t="s">
        <v>549</v>
      </c>
      <c r="D344" t="s">
        <v>550</v>
      </c>
    </row>
    <row r="345" spans="8:8">
      <c r="A345">
        <v>344.0</v>
      </c>
      <c r="B345" s="37" t="s">
        <v>30</v>
      </c>
      <c r="C345" s="37" t="s">
        <v>551</v>
      </c>
      <c r="D345" s="37" t="s">
        <v>552</v>
      </c>
    </row>
    <row r="346" spans="8:8">
      <c r="A346">
        <v>345.0</v>
      </c>
      <c r="B346" s="37" t="s">
        <v>36</v>
      </c>
      <c r="C346" s="37" t="s">
        <v>553</v>
      </c>
      <c r="D346" s="37" t="s">
        <v>554</v>
      </c>
    </row>
    <row r="347" spans="8:8">
      <c r="A347">
        <v>346.0</v>
      </c>
      <c r="B347" s="37" t="s">
        <v>36</v>
      </c>
      <c r="C347" s="37" t="s">
        <v>555</v>
      </c>
      <c r="D347" s="37" t="s">
        <v>556</v>
      </c>
    </row>
    <row r="348" spans="8:8">
      <c r="A348">
        <v>347.0</v>
      </c>
      <c r="B348" s="37" t="s">
        <v>36</v>
      </c>
      <c r="C348" s="37" t="s">
        <v>557</v>
      </c>
      <c r="D348" s="37" t="s">
        <v>558</v>
      </c>
    </row>
    <row r="349" spans="8:8">
      <c r="A349">
        <v>348.0</v>
      </c>
      <c r="B349" s="37" t="s">
        <v>36</v>
      </c>
      <c r="C349" s="37" t="s">
        <v>559</v>
      </c>
      <c r="D349" s="37" t="s">
        <v>560</v>
      </c>
    </row>
    <row r="350" spans="8:8">
      <c r="A350">
        <v>349.0</v>
      </c>
      <c r="B350" s="37" t="s">
        <v>36</v>
      </c>
      <c r="C350" s="37" t="s">
        <v>561</v>
      </c>
      <c r="D350" s="37" t="s">
        <v>562</v>
      </c>
    </row>
    <row r="351" spans="8:8">
      <c r="A351">
        <v>350.0</v>
      </c>
      <c r="B351" s="37" t="s">
        <v>36</v>
      </c>
      <c r="C351" s="37" t="s">
        <v>563</v>
      </c>
      <c r="D351" s="37" t="s">
        <v>564</v>
      </c>
    </row>
    <row r="352" spans="8:8">
      <c r="A352">
        <v>351.0</v>
      </c>
      <c r="B352" t="s">
        <v>36</v>
      </c>
      <c r="C352" t="s">
        <v>565</v>
      </c>
      <c r="D352" t="s">
        <v>566</v>
      </c>
    </row>
    <row r="353" spans="8:8">
      <c r="A353">
        <v>352.0</v>
      </c>
      <c r="B353" t="s">
        <v>36</v>
      </c>
      <c r="C353" t="s">
        <v>567</v>
      </c>
      <c r="D353" t="s">
        <v>568</v>
      </c>
    </row>
    <row r="354" spans="8:8">
      <c r="A354">
        <v>353.0</v>
      </c>
      <c r="B354" t="s">
        <v>36</v>
      </c>
      <c r="C354" t="s">
        <v>569</v>
      </c>
      <c r="D354" t="s">
        <v>570</v>
      </c>
    </row>
    <row r="355" spans="8:8">
      <c r="A355">
        <v>354.0</v>
      </c>
      <c r="B355" t="s">
        <v>36</v>
      </c>
      <c r="C355" t="s">
        <v>571</v>
      </c>
      <c r="D355" t="s">
        <v>572</v>
      </c>
    </row>
    <row r="356" spans="8:8">
      <c r="A356">
        <v>355.0</v>
      </c>
      <c r="B356" t="s">
        <v>36</v>
      </c>
      <c r="C356" t="s">
        <v>573</v>
      </c>
      <c r="D356" t="s">
        <v>574</v>
      </c>
    </row>
    <row r="357" spans="8:8">
      <c r="A357">
        <v>356.0</v>
      </c>
      <c r="B357" t="s">
        <v>36</v>
      </c>
      <c r="C357" t="s">
        <v>575</v>
      </c>
      <c r="D357" t="s">
        <v>576</v>
      </c>
    </row>
    <row r="358" spans="8:8">
      <c r="A358">
        <v>357.0</v>
      </c>
      <c r="B358" t="s">
        <v>36</v>
      </c>
      <c r="C358" t="s">
        <v>577</v>
      </c>
      <c r="D358" t="s">
        <v>578</v>
      </c>
    </row>
    <row r="359" spans="8:8">
      <c r="A359">
        <v>358.0</v>
      </c>
      <c r="B359" t="s">
        <v>36</v>
      </c>
      <c r="C359" t="s">
        <v>579</v>
      </c>
      <c r="D359" t="s">
        <v>580</v>
      </c>
    </row>
    <row r="360" spans="8:8">
      <c r="A360">
        <v>359.0</v>
      </c>
      <c r="B360" t="s">
        <v>36</v>
      </c>
      <c r="C360" t="s">
        <v>581</v>
      </c>
      <c r="D360" t="s">
        <v>582</v>
      </c>
    </row>
    <row r="361" spans="8:8">
      <c r="A361">
        <v>360.0</v>
      </c>
      <c r="B361" t="s">
        <v>36</v>
      </c>
      <c r="C361" t="s">
        <v>583</v>
      </c>
      <c r="D361" t="s">
        <v>584</v>
      </c>
    </row>
    <row r="362" spans="8:8">
      <c r="A362">
        <v>361.0</v>
      </c>
      <c r="B362" t="s">
        <v>36</v>
      </c>
      <c r="C362" t="s">
        <v>585</v>
      </c>
    </row>
    <row r="363" spans="8:8">
      <c r="A363">
        <v>362.0</v>
      </c>
      <c r="B363" t="s">
        <v>36</v>
      </c>
      <c r="C363" t="s">
        <v>586</v>
      </c>
      <c r="D363" t="s">
        <v>587</v>
      </c>
    </row>
    <row r="364" spans="8:8">
      <c r="A364">
        <v>363.0</v>
      </c>
      <c r="B364" t="s">
        <v>30</v>
      </c>
      <c r="C364" t="s">
        <v>588</v>
      </c>
      <c r="D364" t="s">
        <v>589</v>
      </c>
    </row>
    <row r="365" spans="8:8">
      <c r="A365">
        <v>364.0</v>
      </c>
      <c r="B365" t="s">
        <v>36</v>
      </c>
      <c r="C365" t="s">
        <v>590</v>
      </c>
      <c r="D365" t="s">
        <v>591</v>
      </c>
    </row>
    <row r="366" spans="8:8">
      <c r="A366">
        <v>365.0</v>
      </c>
      <c r="B366" t="s">
        <v>42</v>
      </c>
      <c r="C366" t="s">
        <v>592</v>
      </c>
      <c r="D366" t="s">
        <v>593</v>
      </c>
    </row>
    <row r="367" spans="8:8">
      <c r="A367">
        <v>366.0</v>
      </c>
      <c r="B367" t="s">
        <v>36</v>
      </c>
      <c r="C367" t="s">
        <v>594</v>
      </c>
      <c r="D367" t="s">
        <v>595</v>
      </c>
    </row>
    <row r="368" spans="8:8">
      <c r="A368">
        <v>367.0</v>
      </c>
      <c r="B368" t="s">
        <v>36</v>
      </c>
      <c r="C368" t="s">
        <v>596</v>
      </c>
      <c r="D368" t="s">
        <v>597</v>
      </c>
    </row>
    <row r="369" spans="8:8">
      <c r="A369">
        <v>368.0</v>
      </c>
      <c r="B369" t="s">
        <v>33</v>
      </c>
      <c r="C369" t="s">
        <v>598</v>
      </c>
      <c r="D369" t="s">
        <v>599</v>
      </c>
    </row>
    <row r="370" spans="8:8">
      <c r="A370">
        <v>369.0</v>
      </c>
      <c r="B370" t="s">
        <v>30</v>
      </c>
      <c r="C370" t="s">
        <v>600</v>
      </c>
      <c r="D370" t="s">
        <v>601</v>
      </c>
    </row>
    <row r="371" spans="8:8">
      <c r="A371">
        <v>370.0</v>
      </c>
      <c r="B371" t="s">
        <v>36</v>
      </c>
      <c r="C371" t="s">
        <v>406</v>
      </c>
      <c r="D371" t="s">
        <v>602</v>
      </c>
    </row>
    <row r="372" spans="8:8">
      <c r="A372">
        <v>371.0</v>
      </c>
      <c r="B372" t="s">
        <v>36</v>
      </c>
      <c r="C372" t="s">
        <v>603</v>
      </c>
      <c r="D372" t="s">
        <v>604</v>
      </c>
    </row>
    <row r="373" spans="8:8">
      <c r="A373">
        <v>372.0</v>
      </c>
      <c r="B373" t="s">
        <v>36</v>
      </c>
      <c r="C373" t="s">
        <v>605</v>
      </c>
      <c r="D373" t="s">
        <v>606</v>
      </c>
    </row>
    <row r="374" spans="8:8">
      <c r="A374">
        <v>373.0</v>
      </c>
      <c r="B374" t="s">
        <v>36</v>
      </c>
      <c r="C374" t="s">
        <v>607</v>
      </c>
      <c r="D374" t="s">
        <v>608</v>
      </c>
    </row>
    <row r="375" spans="8:8">
      <c r="A375">
        <v>374.0</v>
      </c>
      <c r="B375" t="s">
        <v>36</v>
      </c>
      <c r="C375" t="s">
        <v>609</v>
      </c>
      <c r="D375" t="s">
        <v>610</v>
      </c>
    </row>
    <row r="376" spans="8:8">
      <c r="A376">
        <v>375.0</v>
      </c>
      <c r="B376" t="s">
        <v>36</v>
      </c>
      <c r="C376" t="s">
        <v>611</v>
      </c>
      <c r="D376" t="s">
        <v>612</v>
      </c>
    </row>
    <row r="377" spans="8:8">
      <c r="A377">
        <v>376.0</v>
      </c>
      <c r="B377" t="s">
        <v>36</v>
      </c>
      <c r="C377" t="s">
        <v>613</v>
      </c>
      <c r="D377" t="s">
        <v>614</v>
      </c>
    </row>
    <row r="378" spans="8:8">
      <c r="A378">
        <v>377.0</v>
      </c>
      <c r="B378" t="s">
        <v>30</v>
      </c>
      <c r="C378" t="s">
        <v>442</v>
      </c>
      <c r="D378" t="s">
        <v>615</v>
      </c>
    </row>
    <row r="379" spans="8:8">
      <c r="A379">
        <v>378.0</v>
      </c>
      <c r="B379" t="s">
        <v>30</v>
      </c>
      <c r="C379" t="s">
        <v>616</v>
      </c>
      <c r="D379" t="s">
        <v>617</v>
      </c>
    </row>
    <row r="380" spans="8:8">
      <c r="A380">
        <v>379.0</v>
      </c>
      <c r="B380" t="s">
        <v>30</v>
      </c>
      <c r="C380" t="s">
        <v>618</v>
      </c>
      <c r="D380" s="1" t="s">
        <v>619</v>
      </c>
    </row>
    <row r="381" spans="8:8">
      <c r="A381">
        <v>380.0</v>
      </c>
      <c r="B381" t="s">
        <v>36</v>
      </c>
      <c r="C381" t="s">
        <v>620</v>
      </c>
      <c r="D381" t="s">
        <v>621</v>
      </c>
    </row>
    <row r="382" spans="8:8">
      <c r="A382">
        <v>381.0</v>
      </c>
      <c r="B382" t="s">
        <v>36</v>
      </c>
      <c r="C382" t="s">
        <v>622</v>
      </c>
      <c r="D382" t="s">
        <v>623</v>
      </c>
    </row>
    <row r="383" spans="8:8">
      <c r="A383">
        <v>382.0</v>
      </c>
      <c r="B383" t="s">
        <v>36</v>
      </c>
      <c r="C383" t="s">
        <v>624</v>
      </c>
      <c r="D383" t="s">
        <v>625</v>
      </c>
    </row>
    <row r="384" spans="8:8">
      <c r="A384">
        <v>383.0</v>
      </c>
      <c r="B384" t="s">
        <v>36</v>
      </c>
      <c r="C384" t="s">
        <v>626</v>
      </c>
      <c r="D384" t="s">
        <v>627</v>
      </c>
    </row>
    <row r="385" spans="8:8">
      <c r="A385">
        <v>384.0</v>
      </c>
      <c r="B385" t="s">
        <v>36</v>
      </c>
      <c r="C385" t="s">
        <v>628</v>
      </c>
      <c r="D385" t="s">
        <v>629</v>
      </c>
    </row>
    <row r="386" spans="8:8">
      <c r="A386">
        <v>385.0</v>
      </c>
      <c r="B386" t="s">
        <v>36</v>
      </c>
      <c r="C386" t="s">
        <v>630</v>
      </c>
      <c r="D386" t="s">
        <v>631</v>
      </c>
    </row>
    <row r="387" spans="8:8">
      <c r="A387">
        <v>386.0</v>
      </c>
      <c r="B387" t="s">
        <v>42</v>
      </c>
      <c r="C387" t="s">
        <v>632</v>
      </c>
      <c r="D387" t="s">
        <v>633</v>
      </c>
    </row>
    <row r="388" spans="8:8">
      <c r="A388">
        <v>387.0</v>
      </c>
      <c r="B388" t="s">
        <v>36</v>
      </c>
      <c r="C388" t="s">
        <v>634</v>
      </c>
      <c r="D388" t="s">
        <v>635</v>
      </c>
    </row>
    <row r="389" spans="8:8">
      <c r="A389">
        <v>388.0</v>
      </c>
      <c r="B389" t="s">
        <v>36</v>
      </c>
      <c r="C389" t="s">
        <v>636</v>
      </c>
      <c r="D389" t="s">
        <v>637</v>
      </c>
    </row>
    <row r="390" spans="8:8">
      <c r="A390">
        <v>389.0</v>
      </c>
      <c r="B390" t="s">
        <v>33</v>
      </c>
      <c r="C390" t="s">
        <v>638</v>
      </c>
      <c r="D390" t="s">
        <v>639</v>
      </c>
    </row>
    <row r="391" spans="8:8">
      <c r="A391">
        <v>390.0</v>
      </c>
      <c r="B391" t="s">
        <v>36</v>
      </c>
      <c r="C391" t="s">
        <v>640</v>
      </c>
    </row>
    <row r="392" spans="8:8">
      <c r="A392">
        <v>391.0</v>
      </c>
      <c r="B392" t="s">
        <v>36</v>
      </c>
      <c r="C392" t="s">
        <v>641</v>
      </c>
      <c r="D392" t="s">
        <v>642</v>
      </c>
    </row>
    <row r="393" spans="8:8">
      <c r="A393">
        <v>392.0</v>
      </c>
      <c r="B393" t="s">
        <v>36</v>
      </c>
      <c r="C393" t="s">
        <v>643</v>
      </c>
      <c r="D393" t="s">
        <v>644</v>
      </c>
    </row>
    <row r="394" spans="8:8">
      <c r="A394">
        <v>393.0</v>
      </c>
      <c r="B394" t="s">
        <v>36</v>
      </c>
      <c r="C394" t="s">
        <v>645</v>
      </c>
      <c r="D394" t="s">
        <v>646</v>
      </c>
    </row>
    <row r="395" spans="8:8">
      <c r="A395">
        <v>394.0</v>
      </c>
      <c r="B395" t="s">
        <v>36</v>
      </c>
      <c r="C395" t="s">
        <v>647</v>
      </c>
      <c r="D395" s="1" t="s">
        <v>648</v>
      </c>
    </row>
    <row r="396" spans="8:8">
      <c r="A396">
        <v>395.0</v>
      </c>
      <c r="B396" t="s">
        <v>30</v>
      </c>
      <c r="C396" t="s">
        <v>649</v>
      </c>
      <c r="D396" t="s">
        <v>650</v>
      </c>
    </row>
    <row r="397" spans="8:8">
      <c r="A397">
        <v>396.0</v>
      </c>
      <c r="B397" t="s">
        <v>30</v>
      </c>
      <c r="C397" t="s">
        <v>651</v>
      </c>
      <c r="D397" t="s">
        <v>652</v>
      </c>
    </row>
    <row r="398" spans="8:8">
      <c r="A398">
        <v>397.0</v>
      </c>
      <c r="B398" t="s">
        <v>30</v>
      </c>
      <c r="C398" t="s">
        <v>653</v>
      </c>
      <c r="D398" t="s">
        <v>654</v>
      </c>
    </row>
    <row r="399" spans="8:8">
      <c r="A399">
        <v>398.0</v>
      </c>
      <c r="B399" t="s">
        <v>30</v>
      </c>
      <c r="C399" t="s">
        <v>655</v>
      </c>
      <c r="D399" t="s">
        <v>656</v>
      </c>
    </row>
    <row r="400" spans="8:8">
      <c r="A400">
        <v>399.0</v>
      </c>
      <c r="B400" t="s">
        <v>30</v>
      </c>
      <c r="C400" t="s">
        <v>657</v>
      </c>
      <c r="D400" t="s">
        <v>658</v>
      </c>
    </row>
    <row r="401" spans="8:8">
      <c r="A401">
        <v>400.0</v>
      </c>
      <c r="B401" t="s">
        <v>39</v>
      </c>
      <c r="C401" t="s">
        <v>659</v>
      </c>
      <c r="D401" t="s">
        <v>660</v>
      </c>
    </row>
    <row r="402" spans="8:8">
      <c r="A402">
        <v>401.0</v>
      </c>
      <c r="B402" t="s">
        <v>39</v>
      </c>
      <c r="C402" t="s">
        <v>661</v>
      </c>
      <c r="D402" t="s">
        <v>662</v>
      </c>
    </row>
    <row r="403" spans="8:8">
      <c r="A403">
        <v>402.0</v>
      </c>
      <c r="B403" t="s">
        <v>39</v>
      </c>
      <c r="C403" t="s">
        <v>663</v>
      </c>
      <c r="D403" t="s">
        <v>664</v>
      </c>
    </row>
    <row r="404" spans="8:8">
      <c r="A404">
        <v>403.0</v>
      </c>
      <c r="B404" t="s">
        <v>39</v>
      </c>
      <c r="C404" t="s">
        <v>665</v>
      </c>
      <c r="D404" t="s">
        <v>666</v>
      </c>
    </row>
    <row r="405" spans="8:8">
      <c r="A405">
        <v>404.0</v>
      </c>
      <c r="B405" t="s">
        <v>39</v>
      </c>
      <c r="C405" t="s">
        <v>667</v>
      </c>
      <c r="D405" t="s">
        <v>668</v>
      </c>
    </row>
    <row r="406" spans="8:8">
      <c r="A406">
        <v>405.0</v>
      </c>
      <c r="B406" t="s">
        <v>39</v>
      </c>
      <c r="C406" t="s">
        <v>669</v>
      </c>
      <c r="D406" t="s">
        <v>670</v>
      </c>
    </row>
    <row r="407" spans="8:8">
      <c r="A407">
        <v>406.0</v>
      </c>
      <c r="B407" t="s">
        <v>39</v>
      </c>
      <c r="C407" t="s">
        <v>671</v>
      </c>
      <c r="D407" t="s">
        <v>672</v>
      </c>
    </row>
    <row r="408" spans="8:8">
      <c r="A408">
        <v>407.0</v>
      </c>
      <c r="B408" t="s">
        <v>39</v>
      </c>
      <c r="C408" t="s">
        <v>673</v>
      </c>
      <c r="D408" t="s">
        <v>674</v>
      </c>
    </row>
    <row r="409" spans="8:8">
      <c r="A409">
        <v>408.0</v>
      </c>
      <c r="B409" t="s">
        <v>39</v>
      </c>
      <c r="C409" t="s">
        <v>675</v>
      </c>
      <c r="D409" t="s">
        <v>676</v>
      </c>
    </row>
    <row r="410" spans="8:8">
      <c r="A410">
        <v>409.0</v>
      </c>
      <c r="B410" t="s">
        <v>39</v>
      </c>
      <c r="C410" t="s">
        <v>677</v>
      </c>
    </row>
    <row r="411" spans="8:8">
      <c r="A411">
        <v>410.0</v>
      </c>
      <c r="B411" t="s">
        <v>39</v>
      </c>
      <c r="C411" t="s">
        <v>249</v>
      </c>
      <c r="D411" t="s">
        <v>678</v>
      </c>
    </row>
    <row r="412" spans="8:8">
      <c r="A412">
        <v>411.0</v>
      </c>
      <c r="B412" t="s">
        <v>39</v>
      </c>
      <c r="C412" t="s">
        <v>679</v>
      </c>
      <c r="D412" t="s">
        <v>680</v>
      </c>
    </row>
    <row r="413" spans="8:8">
      <c r="A413">
        <v>412.0</v>
      </c>
      <c r="B413" t="s">
        <v>39</v>
      </c>
      <c r="C413" t="s">
        <v>681</v>
      </c>
      <c r="D413" t="s">
        <v>682</v>
      </c>
    </row>
    <row r="414" spans="8:8">
      <c r="A414">
        <v>413.0</v>
      </c>
      <c r="B414" t="s">
        <v>39</v>
      </c>
      <c r="C414" t="s">
        <v>683</v>
      </c>
      <c r="D414" t="s">
        <v>684</v>
      </c>
    </row>
    <row r="415" spans="8:8">
      <c r="A415">
        <v>414.0</v>
      </c>
      <c r="B415" t="s">
        <v>39</v>
      </c>
      <c r="C415" t="s">
        <v>685</v>
      </c>
      <c r="D415" t="s">
        <v>686</v>
      </c>
    </row>
    <row r="416" spans="8:8">
      <c r="A416">
        <v>415.0</v>
      </c>
      <c r="B416" t="s">
        <v>39</v>
      </c>
      <c r="C416" t="s">
        <v>687</v>
      </c>
      <c r="D416" t="s">
        <v>688</v>
      </c>
    </row>
    <row r="417" spans="8:8">
      <c r="A417">
        <v>416.0</v>
      </c>
      <c r="B417" t="s">
        <v>39</v>
      </c>
      <c r="C417" t="s">
        <v>689</v>
      </c>
      <c r="D417" t="s">
        <v>690</v>
      </c>
    </row>
    <row r="418" spans="8:8">
      <c r="A418">
        <v>417.0</v>
      </c>
      <c r="B418" t="s">
        <v>39</v>
      </c>
      <c r="C418" t="s">
        <v>691</v>
      </c>
      <c r="D418" t="s">
        <v>692</v>
      </c>
    </row>
    <row r="419" spans="8:8">
      <c r="A419">
        <v>418.0</v>
      </c>
      <c r="B419" t="s">
        <v>39</v>
      </c>
      <c r="C419" t="s">
        <v>693</v>
      </c>
      <c r="D419" t="s">
        <v>694</v>
      </c>
    </row>
    <row r="420" spans="8:8">
      <c r="A420">
        <v>419.0</v>
      </c>
      <c r="B420" t="s">
        <v>39</v>
      </c>
      <c r="C420" t="s">
        <v>695</v>
      </c>
    </row>
    <row r="421" spans="8:8">
      <c r="A421">
        <v>420.0</v>
      </c>
      <c r="B421" t="s">
        <v>39</v>
      </c>
      <c r="C421" t="s">
        <v>696</v>
      </c>
      <c r="D421" t="s">
        <v>697</v>
      </c>
    </row>
    <row r="422" spans="8:8">
      <c r="A422">
        <v>421.0</v>
      </c>
      <c r="B422" t="s">
        <v>30</v>
      </c>
      <c r="C422" t="s">
        <v>698</v>
      </c>
      <c r="D422" t="s">
        <v>699</v>
      </c>
    </row>
    <row r="423" spans="8:8">
      <c r="A423">
        <v>422.0</v>
      </c>
      <c r="B423" t="s">
        <v>30</v>
      </c>
      <c r="C423" t="s">
        <v>700</v>
      </c>
      <c r="D423" t="s">
        <v>701</v>
      </c>
    </row>
    <row r="424" spans="8:8">
      <c r="A424">
        <v>423.0</v>
      </c>
      <c r="B424" t="s">
        <v>30</v>
      </c>
      <c r="C424" t="s">
        <v>702</v>
      </c>
      <c r="D424" t="s">
        <v>703</v>
      </c>
    </row>
    <row r="425" spans="8:8">
      <c r="A425">
        <v>424.0</v>
      </c>
      <c r="B425" t="s">
        <v>30</v>
      </c>
      <c r="C425" t="s">
        <v>704</v>
      </c>
      <c r="D425" t="s">
        <v>705</v>
      </c>
    </row>
  </sheetData>
  <sheetProtection sheet="0" formatCells="0" insertHyperlinks="0" autoFilter="0"/>
  <autoFilter ref="B1:B421">
    <filterColumn colId="0" showButton="1"/>
  </autoFilter>
  <pageMargins left="0.7" right="0.7" top="0.75" bottom="0.75" header="0.3" footer="0.3"/>
</worksheet>
</file>

<file path=xl/worksheets/sheet5.xml><?xml version="1.0" encoding="utf-8"?>
<worksheet xmlns:r="http://schemas.openxmlformats.org/officeDocument/2006/relationships" xmlns="http://schemas.openxmlformats.org/spreadsheetml/2006/main">
  <sheetPr>
    <tabColor rgb="FF92D050"/>
  </sheetPr>
  <dimension ref="A1:G602"/>
  <sheetViews>
    <sheetView workbookViewId="0" zoomScale="92">
      <selection activeCell="A368" sqref="A368:A602"/>
    </sheetView>
  </sheetViews>
  <sheetFormatPr defaultRowHeight="13.5" defaultColWidth="9"/>
  <cols>
    <col min="1" max="3" customWidth="1" width="10.625" style="0"/>
    <col min="4" max="4" customWidth="1" width="65.625" style="0"/>
    <col min="5" max="5" customWidth="1" width="10.625" style="0"/>
  </cols>
  <sheetData>
    <row r="1" spans="8:8">
      <c r="A1" t="s">
        <v>105</v>
      </c>
      <c r="B1" t="s">
        <v>17</v>
      </c>
      <c r="C1" t="s">
        <v>106</v>
      </c>
      <c r="D1" t="s">
        <v>107</v>
      </c>
      <c r="E1" t="s">
        <v>108</v>
      </c>
    </row>
    <row r="2" spans="8:8">
      <c r="A2">
        <v>1.0</v>
      </c>
      <c r="B2" t="s">
        <v>42</v>
      </c>
      <c r="C2" t="s">
        <v>706</v>
      </c>
      <c r="D2" t="s">
        <v>707</v>
      </c>
    </row>
    <row r="3" spans="8:8">
      <c r="A3">
        <v>2.0</v>
      </c>
      <c r="B3" t="s">
        <v>42</v>
      </c>
      <c r="C3" t="s">
        <v>708</v>
      </c>
      <c r="D3" t="s">
        <v>709</v>
      </c>
    </row>
    <row r="4" spans="8:8">
      <c r="A4">
        <v>3.0</v>
      </c>
      <c r="B4" t="s">
        <v>42</v>
      </c>
      <c r="C4" t="s">
        <v>710</v>
      </c>
      <c r="D4" t="s">
        <v>711</v>
      </c>
    </row>
    <row r="5" spans="8:8">
      <c r="A5">
        <v>4.0</v>
      </c>
      <c r="B5" t="s">
        <v>42</v>
      </c>
      <c r="C5" t="s">
        <v>712</v>
      </c>
      <c r="D5" s="38" t="s">
        <v>713</v>
      </c>
    </row>
    <row r="6" spans="8:8">
      <c r="A6">
        <v>5.0</v>
      </c>
      <c r="B6" t="s">
        <v>42</v>
      </c>
      <c r="C6" t="s">
        <v>714</v>
      </c>
      <c r="D6" t="s">
        <v>715</v>
      </c>
    </row>
    <row r="7" spans="8:8">
      <c r="A7">
        <v>6.0</v>
      </c>
      <c r="B7" t="s">
        <v>42</v>
      </c>
      <c r="C7" t="s">
        <v>716</v>
      </c>
      <c r="D7" s="38" t="s">
        <v>717</v>
      </c>
    </row>
    <row r="8" spans="8:8">
      <c r="A8">
        <v>7.0</v>
      </c>
      <c r="B8" t="s">
        <v>36</v>
      </c>
      <c r="C8" t="s">
        <v>718</v>
      </c>
      <c r="D8" t="s">
        <v>719</v>
      </c>
    </row>
    <row r="9" spans="8:8">
      <c r="A9">
        <v>8.0</v>
      </c>
      <c r="B9" t="s">
        <v>36</v>
      </c>
      <c r="C9" t="s">
        <v>720</v>
      </c>
      <c r="D9" t="s">
        <v>721</v>
      </c>
    </row>
    <row r="10" spans="8:8">
      <c r="A10">
        <v>9.0</v>
      </c>
      <c r="B10" t="s">
        <v>36</v>
      </c>
      <c r="C10" t="s">
        <v>722</v>
      </c>
      <c r="D10" t="s">
        <v>723</v>
      </c>
    </row>
    <row r="11" spans="8:8">
      <c r="A11">
        <v>10.0</v>
      </c>
      <c r="B11" t="s">
        <v>36</v>
      </c>
      <c r="C11" t="s">
        <v>724</v>
      </c>
      <c r="D11" t="s">
        <v>725</v>
      </c>
    </row>
    <row r="12" spans="8:8">
      <c r="A12">
        <v>11.0</v>
      </c>
      <c r="B12" t="s">
        <v>36</v>
      </c>
      <c r="C12" t="s">
        <v>726</v>
      </c>
      <c r="D12" t="s">
        <v>727</v>
      </c>
    </row>
    <row r="13" spans="8:8">
      <c r="A13">
        <v>12.0</v>
      </c>
      <c r="B13" t="s">
        <v>36</v>
      </c>
      <c r="C13" t="s">
        <v>728</v>
      </c>
      <c r="D13" t="s">
        <v>729</v>
      </c>
    </row>
    <row r="14" spans="8:8">
      <c r="A14">
        <v>13.0</v>
      </c>
      <c r="B14" t="s">
        <v>36</v>
      </c>
      <c r="C14" t="s">
        <v>730</v>
      </c>
      <c r="D14" t="s">
        <v>731</v>
      </c>
    </row>
    <row r="15" spans="8:8">
      <c r="A15">
        <v>14.0</v>
      </c>
      <c r="B15" t="s">
        <v>36</v>
      </c>
      <c r="C15" t="s">
        <v>732</v>
      </c>
      <c r="D15" t="s">
        <v>733</v>
      </c>
    </row>
    <row r="16" spans="8:8">
      <c r="A16">
        <v>15.0</v>
      </c>
      <c r="B16" t="s">
        <v>36</v>
      </c>
      <c r="C16" t="s">
        <v>734</v>
      </c>
      <c r="D16" t="s">
        <v>735</v>
      </c>
    </row>
    <row r="17" spans="8:8">
      <c r="A17">
        <v>16.0</v>
      </c>
      <c r="B17" t="s">
        <v>36</v>
      </c>
      <c r="C17" t="s">
        <v>736</v>
      </c>
      <c r="D17" t="s">
        <v>737</v>
      </c>
    </row>
    <row r="18" spans="8:8">
      <c r="A18">
        <v>17.0</v>
      </c>
      <c r="B18" t="s">
        <v>36</v>
      </c>
      <c r="C18" t="s">
        <v>738</v>
      </c>
      <c r="D18" t="s">
        <v>739</v>
      </c>
    </row>
    <row r="19" spans="8:8">
      <c r="A19">
        <v>18.0</v>
      </c>
      <c r="B19" t="s">
        <v>36</v>
      </c>
      <c r="C19" t="s">
        <v>740</v>
      </c>
      <c r="D19" t="s">
        <v>741</v>
      </c>
    </row>
    <row r="20" spans="8:8">
      <c r="A20">
        <v>19.0</v>
      </c>
      <c r="B20" t="s">
        <v>36</v>
      </c>
      <c r="C20" t="s">
        <v>742</v>
      </c>
      <c r="D20" t="s">
        <v>743</v>
      </c>
    </row>
    <row r="21" spans="8:8">
      <c r="A21">
        <v>20.0</v>
      </c>
      <c r="B21" t="s">
        <v>36</v>
      </c>
      <c r="C21" t="s">
        <v>744</v>
      </c>
      <c r="D21" t="s">
        <v>745</v>
      </c>
    </row>
    <row r="22" spans="8:8">
      <c r="A22">
        <v>21.0</v>
      </c>
      <c r="B22" t="s">
        <v>36</v>
      </c>
      <c r="C22" t="s">
        <v>746</v>
      </c>
      <c r="D22" t="s">
        <v>747</v>
      </c>
    </row>
    <row r="23" spans="8:8">
      <c r="A23">
        <v>22.0</v>
      </c>
      <c r="B23" t="s">
        <v>36</v>
      </c>
      <c r="C23" t="s">
        <v>748</v>
      </c>
      <c r="D23" t="s">
        <v>749</v>
      </c>
    </row>
    <row r="24" spans="8:8">
      <c r="A24">
        <v>23.0</v>
      </c>
      <c r="B24" t="s">
        <v>36</v>
      </c>
      <c r="C24" t="s">
        <v>750</v>
      </c>
      <c r="D24" t="s">
        <v>751</v>
      </c>
    </row>
    <row r="25" spans="8:8">
      <c r="A25">
        <v>24.0</v>
      </c>
      <c r="B25" t="s">
        <v>36</v>
      </c>
      <c r="C25" t="s">
        <v>752</v>
      </c>
      <c r="D25" t="s">
        <v>753</v>
      </c>
    </row>
    <row r="26" spans="8:8">
      <c r="A26">
        <v>25.0</v>
      </c>
      <c r="B26" t="s">
        <v>36</v>
      </c>
      <c r="C26" t="s">
        <v>754</v>
      </c>
      <c r="D26" t="s">
        <v>755</v>
      </c>
    </row>
    <row r="27" spans="8:8">
      <c r="A27">
        <v>26.0</v>
      </c>
      <c r="B27" t="s">
        <v>36</v>
      </c>
      <c r="C27" t="s">
        <v>406</v>
      </c>
      <c r="D27" t="s">
        <v>756</v>
      </c>
    </row>
    <row r="28" spans="8:8">
      <c r="A28">
        <v>27.0</v>
      </c>
      <c r="B28" t="s">
        <v>36</v>
      </c>
      <c r="C28" t="s">
        <v>557</v>
      </c>
      <c r="D28" t="s">
        <v>757</v>
      </c>
    </row>
    <row r="29" spans="8:8">
      <c r="A29">
        <v>28.0</v>
      </c>
      <c r="B29" t="s">
        <v>36</v>
      </c>
      <c r="C29" t="s">
        <v>758</v>
      </c>
      <c r="D29" t="s">
        <v>759</v>
      </c>
    </row>
    <row r="30" spans="8:8">
      <c r="A30">
        <v>29.0</v>
      </c>
      <c r="B30" t="s">
        <v>36</v>
      </c>
      <c r="C30" t="s">
        <v>760</v>
      </c>
      <c r="D30" t="s">
        <v>761</v>
      </c>
    </row>
    <row r="31" spans="8:8">
      <c r="A31">
        <v>30.0</v>
      </c>
      <c r="B31" t="s">
        <v>36</v>
      </c>
      <c r="C31" t="s">
        <v>762</v>
      </c>
      <c r="D31" t="s">
        <v>763</v>
      </c>
    </row>
    <row r="32" spans="8:8">
      <c r="A32">
        <v>31.0</v>
      </c>
      <c r="B32" t="s">
        <v>36</v>
      </c>
      <c r="C32" t="s">
        <v>764</v>
      </c>
      <c r="D32" t="s">
        <v>765</v>
      </c>
    </row>
    <row r="33" spans="8:8">
      <c r="A33">
        <v>32.0</v>
      </c>
      <c r="B33" t="s">
        <v>36</v>
      </c>
      <c r="C33" t="s">
        <v>766</v>
      </c>
      <c r="D33" t="s">
        <v>767</v>
      </c>
    </row>
    <row r="34" spans="8:8">
      <c r="A34">
        <v>33.0</v>
      </c>
      <c r="B34" t="s">
        <v>36</v>
      </c>
      <c r="C34" t="s">
        <v>768</v>
      </c>
      <c r="D34" t="s">
        <v>769</v>
      </c>
    </row>
    <row r="35" spans="8:8">
      <c r="A35">
        <v>34.0</v>
      </c>
      <c r="B35" t="s">
        <v>36</v>
      </c>
      <c r="C35" t="s">
        <v>770</v>
      </c>
      <c r="D35" t="s">
        <v>771</v>
      </c>
    </row>
    <row r="36" spans="8:8">
      <c r="A36">
        <v>35.0</v>
      </c>
      <c r="B36" t="s">
        <v>36</v>
      </c>
      <c r="C36" t="s">
        <v>772</v>
      </c>
      <c r="D36" t="s">
        <v>773</v>
      </c>
    </row>
    <row r="37" spans="8:8">
      <c r="A37">
        <v>36.0</v>
      </c>
      <c r="B37" t="s">
        <v>36</v>
      </c>
      <c r="C37" t="s">
        <v>774</v>
      </c>
      <c r="D37" t="s">
        <v>775</v>
      </c>
    </row>
    <row r="38" spans="8:8">
      <c r="A38">
        <v>37.0</v>
      </c>
      <c r="B38" t="s">
        <v>36</v>
      </c>
      <c r="C38" t="s">
        <v>559</v>
      </c>
      <c r="D38" t="s">
        <v>776</v>
      </c>
    </row>
    <row r="39" spans="8:8">
      <c r="A39">
        <v>38.0</v>
      </c>
      <c r="B39" t="s">
        <v>36</v>
      </c>
      <c r="C39" t="s">
        <v>777</v>
      </c>
      <c r="D39" t="s">
        <v>778</v>
      </c>
    </row>
    <row r="40" spans="8:8">
      <c r="A40">
        <v>39.0</v>
      </c>
      <c r="B40" t="s">
        <v>33</v>
      </c>
      <c r="C40" t="s">
        <v>779</v>
      </c>
      <c r="E40" t="s">
        <v>50</v>
      </c>
    </row>
    <row r="41" spans="8:8">
      <c r="A41">
        <v>40.0</v>
      </c>
      <c r="B41" t="s">
        <v>33</v>
      </c>
      <c r="C41" t="s">
        <v>780</v>
      </c>
      <c r="E41" t="s">
        <v>50</v>
      </c>
    </row>
    <row r="42" spans="8:8">
      <c r="A42">
        <v>41.0</v>
      </c>
      <c r="B42" t="s">
        <v>33</v>
      </c>
      <c r="C42" t="s">
        <v>781</v>
      </c>
      <c r="E42" t="s">
        <v>50</v>
      </c>
    </row>
    <row r="43" spans="8:8">
      <c r="A43">
        <v>42.0</v>
      </c>
      <c r="B43" t="s">
        <v>39</v>
      </c>
      <c r="C43" t="s">
        <v>782</v>
      </c>
      <c r="E43" t="s">
        <v>50</v>
      </c>
    </row>
    <row r="44" spans="8:8">
      <c r="A44">
        <v>43.0</v>
      </c>
      <c r="B44" t="s">
        <v>30</v>
      </c>
      <c r="C44" t="s">
        <v>783</v>
      </c>
      <c r="E44" t="s">
        <v>50</v>
      </c>
    </row>
    <row r="45" spans="8:8">
      <c r="A45">
        <v>44.0</v>
      </c>
      <c r="B45" t="s">
        <v>39</v>
      </c>
      <c r="C45" t="s">
        <v>784</v>
      </c>
      <c r="E45" t="s">
        <v>50</v>
      </c>
    </row>
    <row r="46" spans="8:8">
      <c r="A46">
        <v>45.0</v>
      </c>
      <c r="B46" t="s">
        <v>33</v>
      </c>
      <c r="C46" t="s">
        <v>785</v>
      </c>
      <c r="E46" t="s">
        <v>50</v>
      </c>
    </row>
    <row r="47" spans="8:8">
      <c r="A47">
        <v>46.0</v>
      </c>
      <c r="B47" t="s">
        <v>39</v>
      </c>
      <c r="C47" t="s">
        <v>786</v>
      </c>
      <c r="E47" t="s">
        <v>50</v>
      </c>
    </row>
    <row r="48" spans="8:8">
      <c r="A48">
        <v>47.0</v>
      </c>
      <c r="B48" t="s">
        <v>36</v>
      </c>
      <c r="C48" t="s">
        <v>787</v>
      </c>
      <c r="E48" t="s">
        <v>50</v>
      </c>
    </row>
    <row r="49" spans="8:8">
      <c r="A49">
        <v>48.0</v>
      </c>
      <c r="B49" t="s">
        <v>30</v>
      </c>
      <c r="C49" t="s">
        <v>788</v>
      </c>
      <c r="E49" t="s">
        <v>50</v>
      </c>
    </row>
    <row r="50" spans="8:8">
      <c r="A50">
        <v>49.0</v>
      </c>
      <c r="B50" t="s">
        <v>36</v>
      </c>
      <c r="C50" t="s">
        <v>789</v>
      </c>
      <c r="E50" t="s">
        <v>50</v>
      </c>
    </row>
    <row r="51" spans="8:8">
      <c r="A51">
        <v>50.0</v>
      </c>
      <c r="B51" t="s">
        <v>30</v>
      </c>
      <c r="C51" t="s">
        <v>790</v>
      </c>
      <c r="E51" t="s">
        <v>50</v>
      </c>
    </row>
    <row r="52" spans="8:8">
      <c r="A52">
        <v>51.0</v>
      </c>
      <c r="B52" t="s">
        <v>42</v>
      </c>
      <c r="C52" t="s">
        <v>791</v>
      </c>
      <c r="E52" t="s">
        <v>50</v>
      </c>
    </row>
    <row r="53" spans="8:8">
      <c r="A53">
        <v>52.0</v>
      </c>
      <c r="B53" t="s">
        <v>33</v>
      </c>
      <c r="C53" t="s">
        <v>792</v>
      </c>
      <c r="E53" t="s">
        <v>50</v>
      </c>
    </row>
    <row r="54" spans="8:8">
      <c r="A54">
        <v>53.0</v>
      </c>
      <c r="B54" t="s">
        <v>33</v>
      </c>
      <c r="C54" t="s">
        <v>793</v>
      </c>
      <c r="E54" t="s">
        <v>50</v>
      </c>
    </row>
    <row r="55" spans="8:8">
      <c r="A55">
        <v>54.0</v>
      </c>
      <c r="B55" t="s">
        <v>30</v>
      </c>
      <c r="C55" t="s">
        <v>794</v>
      </c>
      <c r="D55" t="s">
        <v>795</v>
      </c>
      <c r="E55" t="s">
        <v>50</v>
      </c>
    </row>
    <row r="56" spans="8:8">
      <c r="A56">
        <v>55.0</v>
      </c>
      <c r="B56" t="s">
        <v>33</v>
      </c>
      <c r="C56" t="s">
        <v>796</v>
      </c>
      <c r="E56" t="s">
        <v>50</v>
      </c>
    </row>
    <row r="57" spans="8:8">
      <c r="A57">
        <v>56.0</v>
      </c>
      <c r="B57" t="s">
        <v>30</v>
      </c>
      <c r="C57" t="s">
        <v>797</v>
      </c>
      <c r="E57" t="s">
        <v>50</v>
      </c>
    </row>
    <row r="58" spans="8:8">
      <c r="A58">
        <v>57.0</v>
      </c>
      <c r="B58" t="s">
        <v>33</v>
      </c>
      <c r="C58" t="s">
        <v>798</v>
      </c>
      <c r="E58" t="s">
        <v>50</v>
      </c>
    </row>
    <row r="59" spans="8:8">
      <c r="A59">
        <v>58.0</v>
      </c>
      <c r="B59" t="s">
        <v>30</v>
      </c>
      <c r="C59" t="s">
        <v>799</v>
      </c>
      <c r="E59" t="s">
        <v>50</v>
      </c>
    </row>
    <row r="60" spans="8:8">
      <c r="A60">
        <v>59.0</v>
      </c>
      <c r="B60" t="s">
        <v>33</v>
      </c>
      <c r="C60" t="s">
        <v>800</v>
      </c>
      <c r="E60" t="s">
        <v>50</v>
      </c>
    </row>
    <row r="61" spans="8:8">
      <c r="A61">
        <v>60.0</v>
      </c>
      <c r="B61" t="s">
        <v>33</v>
      </c>
      <c r="C61" t="s">
        <v>801</v>
      </c>
      <c r="E61" t="s">
        <v>50</v>
      </c>
    </row>
    <row r="62" spans="8:8">
      <c r="A62">
        <v>61.0</v>
      </c>
      <c r="B62" t="s">
        <v>30</v>
      </c>
      <c r="C62" t="s">
        <v>802</v>
      </c>
      <c r="E62" t="s">
        <v>50</v>
      </c>
    </row>
    <row r="63" spans="8:8">
      <c r="A63">
        <v>62.0</v>
      </c>
      <c r="B63" t="s">
        <v>30</v>
      </c>
      <c r="C63" t="s">
        <v>803</v>
      </c>
      <c r="E63" t="s">
        <v>50</v>
      </c>
    </row>
    <row r="64" spans="8:8">
      <c r="A64">
        <v>63.0</v>
      </c>
      <c r="B64" t="s">
        <v>33</v>
      </c>
      <c r="C64" t="s">
        <v>804</v>
      </c>
      <c r="E64" t="s">
        <v>50</v>
      </c>
    </row>
    <row r="65" spans="8:8">
      <c r="A65">
        <v>64.0</v>
      </c>
      <c r="B65" t="s">
        <v>33</v>
      </c>
      <c r="C65" t="s">
        <v>805</v>
      </c>
      <c r="E65" t="s">
        <v>50</v>
      </c>
    </row>
    <row r="66" spans="8:8">
      <c r="A66">
        <v>65.0</v>
      </c>
      <c r="B66" t="s">
        <v>33</v>
      </c>
      <c r="C66" t="s">
        <v>806</v>
      </c>
      <c r="E66" t="s">
        <v>50</v>
      </c>
    </row>
    <row r="67" spans="8:8">
      <c r="A67">
        <v>66.0</v>
      </c>
      <c r="B67" t="s">
        <v>30</v>
      </c>
      <c r="C67" t="s">
        <v>807</v>
      </c>
      <c r="D67" t="s">
        <v>808</v>
      </c>
      <c r="E67" t="s">
        <v>50</v>
      </c>
    </row>
    <row r="68" spans="8:8">
      <c r="A68">
        <v>67.0</v>
      </c>
      <c r="B68" t="s">
        <v>42</v>
      </c>
      <c r="C68" t="s">
        <v>809</v>
      </c>
      <c r="E68" t="s">
        <v>50</v>
      </c>
    </row>
    <row r="69" spans="8:8">
      <c r="A69">
        <v>68.0</v>
      </c>
      <c r="B69" t="s">
        <v>30</v>
      </c>
      <c r="C69" t="s">
        <v>810</v>
      </c>
      <c r="E69" t="s">
        <v>50</v>
      </c>
    </row>
    <row r="70" spans="8:8">
      <c r="A70">
        <v>69.0</v>
      </c>
      <c r="B70" t="s">
        <v>30</v>
      </c>
      <c r="C70" t="s">
        <v>811</v>
      </c>
      <c r="E70" t="s">
        <v>50</v>
      </c>
    </row>
    <row r="71" spans="8:8">
      <c r="A71">
        <v>70.0</v>
      </c>
      <c r="B71" t="s">
        <v>30</v>
      </c>
      <c r="C71" t="s">
        <v>812</v>
      </c>
      <c r="E71" t="s">
        <v>50</v>
      </c>
    </row>
    <row r="72" spans="8:8">
      <c r="A72">
        <v>71.0</v>
      </c>
      <c r="B72" t="s">
        <v>30</v>
      </c>
      <c r="C72" t="s">
        <v>813</v>
      </c>
      <c r="E72" t="s">
        <v>50</v>
      </c>
    </row>
    <row r="73" spans="8:8">
      <c r="A73">
        <v>72.0</v>
      </c>
      <c r="B73" t="s">
        <v>30</v>
      </c>
      <c r="C73" t="s">
        <v>814</v>
      </c>
      <c r="E73" t="s">
        <v>50</v>
      </c>
    </row>
    <row r="74" spans="8:8">
      <c r="A74">
        <v>73.0</v>
      </c>
      <c r="B74" t="s">
        <v>39</v>
      </c>
      <c r="C74" t="s">
        <v>815</v>
      </c>
      <c r="E74" t="s">
        <v>50</v>
      </c>
    </row>
    <row r="75" spans="8:8">
      <c r="A75">
        <v>74.0</v>
      </c>
      <c r="B75" t="s">
        <v>33</v>
      </c>
      <c r="C75" t="s">
        <v>816</v>
      </c>
      <c r="E75" t="s">
        <v>50</v>
      </c>
    </row>
    <row r="76" spans="8:8">
      <c r="A76">
        <v>75.0</v>
      </c>
      <c r="B76" t="s">
        <v>33</v>
      </c>
      <c r="C76" t="s">
        <v>817</v>
      </c>
      <c r="E76" t="s">
        <v>50</v>
      </c>
    </row>
    <row r="77" spans="8:8">
      <c r="A77">
        <v>76.0</v>
      </c>
      <c r="B77" t="s">
        <v>33</v>
      </c>
      <c r="C77" t="s">
        <v>818</v>
      </c>
      <c r="E77" t="s">
        <v>50</v>
      </c>
    </row>
    <row r="78" spans="8:8">
      <c r="A78">
        <v>77.0</v>
      </c>
      <c r="B78" t="s">
        <v>33</v>
      </c>
      <c r="C78" t="s">
        <v>819</v>
      </c>
      <c r="E78" t="s">
        <v>50</v>
      </c>
    </row>
    <row r="79" spans="8:8">
      <c r="A79">
        <v>78.0</v>
      </c>
      <c r="B79" t="s">
        <v>30</v>
      </c>
      <c r="C79" t="s">
        <v>820</v>
      </c>
      <c r="D79" t="s">
        <v>821</v>
      </c>
    </row>
    <row r="80" spans="8:8">
      <c r="A80">
        <v>79.0</v>
      </c>
      <c r="B80" t="s">
        <v>30</v>
      </c>
      <c r="C80" t="s">
        <v>822</v>
      </c>
      <c r="D80" t="s">
        <v>823</v>
      </c>
    </row>
    <row r="81" spans="8:8">
      <c r="A81">
        <v>80.0</v>
      </c>
      <c r="B81" t="s">
        <v>30</v>
      </c>
      <c r="C81" t="s">
        <v>824</v>
      </c>
      <c r="D81" t="s">
        <v>825</v>
      </c>
    </row>
    <row r="82" spans="8:8">
      <c r="A82">
        <v>81.0</v>
      </c>
      <c r="B82" t="s">
        <v>30</v>
      </c>
      <c r="C82" t="s">
        <v>826</v>
      </c>
      <c r="D82" t="s">
        <v>827</v>
      </c>
    </row>
    <row r="83" spans="8:8">
      <c r="A83">
        <v>82.0</v>
      </c>
      <c r="B83" t="s">
        <v>30</v>
      </c>
      <c r="C83" t="s">
        <v>828</v>
      </c>
      <c r="D83" t="s">
        <v>829</v>
      </c>
    </row>
    <row r="84" spans="8:8">
      <c r="A84">
        <v>83.0</v>
      </c>
      <c r="B84" t="s">
        <v>30</v>
      </c>
      <c r="C84" t="s">
        <v>830</v>
      </c>
      <c r="D84" t="s">
        <v>831</v>
      </c>
    </row>
    <row r="85" spans="8:8">
      <c r="A85">
        <v>84.0</v>
      </c>
      <c r="B85" t="s">
        <v>30</v>
      </c>
      <c r="C85" t="s">
        <v>832</v>
      </c>
      <c r="D85" t="s">
        <v>833</v>
      </c>
    </row>
    <row r="86" spans="8:8">
      <c r="A86">
        <v>85.0</v>
      </c>
      <c r="B86" t="s">
        <v>30</v>
      </c>
      <c r="C86" t="s">
        <v>834</v>
      </c>
      <c r="D86" t="s">
        <v>835</v>
      </c>
    </row>
    <row r="87" spans="8:8">
      <c r="A87">
        <v>86.0</v>
      </c>
      <c r="B87" t="s">
        <v>30</v>
      </c>
      <c r="C87" t="s">
        <v>836</v>
      </c>
      <c r="D87" t="s">
        <v>837</v>
      </c>
    </row>
    <row r="88" spans="8:8">
      <c r="A88">
        <v>87.0</v>
      </c>
      <c r="B88" t="s">
        <v>30</v>
      </c>
      <c r="C88" t="s">
        <v>838</v>
      </c>
      <c r="D88" t="s">
        <v>839</v>
      </c>
    </row>
    <row r="89" spans="8:8">
      <c r="A89">
        <v>88.0</v>
      </c>
      <c r="B89" t="s">
        <v>30</v>
      </c>
      <c r="C89" t="s">
        <v>386</v>
      </c>
      <c r="D89" t="s">
        <v>840</v>
      </c>
    </row>
    <row r="90" spans="8:8">
      <c r="A90">
        <v>89.0</v>
      </c>
      <c r="B90" t="s">
        <v>30</v>
      </c>
      <c r="C90" t="s">
        <v>841</v>
      </c>
      <c r="D90" t="s">
        <v>842</v>
      </c>
    </row>
    <row r="91" spans="8:8">
      <c r="A91">
        <v>90.0</v>
      </c>
      <c r="B91" t="s">
        <v>30</v>
      </c>
      <c r="C91" t="s">
        <v>843</v>
      </c>
      <c r="D91" t="s">
        <v>844</v>
      </c>
    </row>
    <row r="92" spans="8:8">
      <c r="A92">
        <v>91.0</v>
      </c>
      <c r="B92" t="s">
        <v>30</v>
      </c>
      <c r="C92" t="s">
        <v>845</v>
      </c>
      <c r="D92" t="s">
        <v>846</v>
      </c>
    </row>
    <row r="93" spans="8:8">
      <c r="A93">
        <v>92.0</v>
      </c>
      <c r="B93" t="s">
        <v>30</v>
      </c>
      <c r="C93" t="s">
        <v>847</v>
      </c>
      <c r="D93" t="s">
        <v>848</v>
      </c>
    </row>
    <row r="94" spans="8:8">
      <c r="A94">
        <v>93.0</v>
      </c>
      <c r="B94" t="s">
        <v>30</v>
      </c>
      <c r="C94" t="s">
        <v>849</v>
      </c>
      <c r="D94" t="s">
        <v>850</v>
      </c>
    </row>
    <row r="95" spans="8:8">
      <c r="A95">
        <v>94.0</v>
      </c>
      <c r="B95" t="s">
        <v>30</v>
      </c>
      <c r="C95" t="s">
        <v>851</v>
      </c>
      <c r="D95" t="s">
        <v>852</v>
      </c>
    </row>
    <row r="96" spans="8:8">
      <c r="A96">
        <v>95.0</v>
      </c>
      <c r="B96" t="s">
        <v>30</v>
      </c>
      <c r="C96" t="s">
        <v>853</v>
      </c>
      <c r="D96" t="s">
        <v>854</v>
      </c>
    </row>
    <row r="97" spans="8:8">
      <c r="A97">
        <v>96.0</v>
      </c>
      <c r="B97" t="s">
        <v>30</v>
      </c>
      <c r="C97" t="s">
        <v>855</v>
      </c>
      <c r="D97" t="s">
        <v>856</v>
      </c>
    </row>
    <row r="98" spans="8:8">
      <c r="A98">
        <v>97.0</v>
      </c>
      <c r="B98" t="s">
        <v>30</v>
      </c>
      <c r="C98" t="s">
        <v>857</v>
      </c>
      <c r="D98" t="s">
        <v>858</v>
      </c>
    </row>
    <row r="99" spans="8:8">
      <c r="A99">
        <v>98.0</v>
      </c>
      <c r="B99" t="s">
        <v>30</v>
      </c>
      <c r="C99" t="s">
        <v>859</v>
      </c>
      <c r="D99" t="s">
        <v>860</v>
      </c>
    </row>
    <row r="100" spans="8:8">
      <c r="A100">
        <v>99.0</v>
      </c>
      <c r="B100" t="s">
        <v>30</v>
      </c>
      <c r="C100" t="s">
        <v>861</v>
      </c>
      <c r="D100" t="s">
        <v>862</v>
      </c>
    </row>
    <row r="101" spans="8:8">
      <c r="A101">
        <v>100.0</v>
      </c>
      <c r="B101" t="s">
        <v>30</v>
      </c>
      <c r="C101" t="s">
        <v>863</v>
      </c>
      <c r="D101" t="s">
        <v>864</v>
      </c>
    </row>
    <row r="102" spans="8:8">
      <c r="A102">
        <v>101.0</v>
      </c>
      <c r="B102" t="s">
        <v>30</v>
      </c>
      <c r="C102" t="s">
        <v>865</v>
      </c>
      <c r="D102" t="s">
        <v>866</v>
      </c>
    </row>
    <row r="103" spans="8:8">
      <c r="A103">
        <v>102.0</v>
      </c>
      <c r="B103" t="s">
        <v>30</v>
      </c>
      <c r="C103" t="s">
        <v>867</v>
      </c>
      <c r="D103" t="s">
        <v>868</v>
      </c>
    </row>
    <row r="104" spans="8:8">
      <c r="A104">
        <v>103.0</v>
      </c>
      <c r="B104" t="s">
        <v>30</v>
      </c>
      <c r="C104" t="s">
        <v>869</v>
      </c>
      <c r="D104" t="s">
        <v>870</v>
      </c>
    </row>
    <row r="105" spans="8:8">
      <c r="A105">
        <v>104.0</v>
      </c>
      <c r="B105" t="s">
        <v>30</v>
      </c>
      <c r="C105" t="s">
        <v>871</v>
      </c>
      <c r="D105" t="s">
        <v>872</v>
      </c>
    </row>
    <row r="106" spans="8:8">
      <c r="A106">
        <v>105.0</v>
      </c>
      <c r="B106" t="s">
        <v>30</v>
      </c>
      <c r="C106" t="s">
        <v>873</v>
      </c>
      <c r="D106" t="s">
        <v>874</v>
      </c>
    </row>
    <row r="107" spans="8:8">
      <c r="A107">
        <v>106.0</v>
      </c>
      <c r="B107" t="s">
        <v>30</v>
      </c>
      <c r="C107" t="s">
        <v>875</v>
      </c>
      <c r="D107" t="s">
        <v>876</v>
      </c>
    </row>
    <row r="108" spans="8:8">
      <c r="A108">
        <v>107.0</v>
      </c>
      <c r="B108" t="s">
        <v>30</v>
      </c>
      <c r="C108" t="s">
        <v>877</v>
      </c>
      <c r="D108" t="s">
        <v>878</v>
      </c>
    </row>
    <row r="109" spans="8:8">
      <c r="A109">
        <v>108.0</v>
      </c>
      <c r="B109" t="s">
        <v>30</v>
      </c>
      <c r="C109" t="s">
        <v>879</v>
      </c>
      <c r="D109" t="s">
        <v>880</v>
      </c>
    </row>
    <row r="110" spans="8:8">
      <c r="A110">
        <v>109.0</v>
      </c>
      <c r="B110" t="s">
        <v>30</v>
      </c>
      <c r="C110" t="s">
        <v>881</v>
      </c>
      <c r="D110" t="s">
        <v>882</v>
      </c>
    </row>
    <row r="111" spans="8:8">
      <c r="A111">
        <v>110.0</v>
      </c>
      <c r="B111" t="s">
        <v>30</v>
      </c>
      <c r="C111" t="s">
        <v>883</v>
      </c>
      <c r="D111" t="s">
        <v>884</v>
      </c>
    </row>
    <row r="112" spans="8:8">
      <c r="A112">
        <v>111.0</v>
      </c>
      <c r="B112" t="s">
        <v>30</v>
      </c>
      <c r="C112" t="s">
        <v>885</v>
      </c>
      <c r="D112" t="s">
        <v>886</v>
      </c>
    </row>
    <row r="113" spans="8:8">
      <c r="A113">
        <v>112.0</v>
      </c>
      <c r="B113" t="s">
        <v>30</v>
      </c>
      <c r="C113" t="s">
        <v>887</v>
      </c>
      <c r="D113" t="s">
        <v>888</v>
      </c>
    </row>
    <row r="114" spans="8:8">
      <c r="A114">
        <v>113.0</v>
      </c>
      <c r="B114" t="s">
        <v>30</v>
      </c>
      <c r="C114" t="s">
        <v>889</v>
      </c>
      <c r="D114" t="s">
        <v>890</v>
      </c>
    </row>
    <row r="115" spans="8:8">
      <c r="A115">
        <v>114.0</v>
      </c>
      <c r="B115" t="s">
        <v>30</v>
      </c>
      <c r="C115" t="s">
        <v>891</v>
      </c>
      <c r="D115" t="s">
        <v>892</v>
      </c>
    </row>
    <row r="116" spans="8:8">
      <c r="A116">
        <v>115.0</v>
      </c>
      <c r="B116" t="s">
        <v>30</v>
      </c>
      <c r="C116" t="s">
        <v>893</v>
      </c>
      <c r="D116" t="s">
        <v>894</v>
      </c>
    </row>
    <row r="117" spans="8:8">
      <c r="A117">
        <v>116.0</v>
      </c>
      <c r="B117" t="s">
        <v>30</v>
      </c>
      <c r="C117" t="s">
        <v>895</v>
      </c>
      <c r="D117" t="s">
        <v>896</v>
      </c>
    </row>
    <row r="118" spans="8:8">
      <c r="A118">
        <v>117.0</v>
      </c>
      <c r="B118" t="s">
        <v>30</v>
      </c>
      <c r="C118" t="s">
        <v>897</v>
      </c>
      <c r="D118" t="s">
        <v>898</v>
      </c>
    </row>
    <row r="119" spans="8:8">
      <c r="A119">
        <v>118.0</v>
      </c>
      <c r="B119" t="s">
        <v>30</v>
      </c>
      <c r="C119" t="s">
        <v>899</v>
      </c>
      <c r="D119" t="s">
        <v>900</v>
      </c>
    </row>
    <row r="120" spans="8:8">
      <c r="A120">
        <v>119.0</v>
      </c>
      <c r="B120" t="s">
        <v>30</v>
      </c>
      <c r="C120" t="s">
        <v>901</v>
      </c>
      <c r="D120" t="s">
        <v>902</v>
      </c>
    </row>
    <row r="121" spans="8:8">
      <c r="A121">
        <v>120.0</v>
      </c>
      <c r="B121" t="s">
        <v>30</v>
      </c>
      <c r="C121" t="s">
        <v>903</v>
      </c>
      <c r="D121" t="s">
        <v>904</v>
      </c>
    </row>
    <row r="122" spans="8:8">
      <c r="A122">
        <v>121.0</v>
      </c>
      <c r="B122" t="s">
        <v>30</v>
      </c>
      <c r="C122" t="s">
        <v>905</v>
      </c>
      <c r="D122" t="s">
        <v>906</v>
      </c>
    </row>
    <row r="123" spans="8:8">
      <c r="A123">
        <v>122.0</v>
      </c>
      <c r="B123" t="s">
        <v>30</v>
      </c>
      <c r="C123" t="s">
        <v>907</v>
      </c>
      <c r="D123" t="s">
        <v>908</v>
      </c>
    </row>
    <row r="124" spans="8:8">
      <c r="A124">
        <v>123.0</v>
      </c>
      <c r="B124" t="s">
        <v>30</v>
      </c>
      <c r="C124" t="s">
        <v>909</v>
      </c>
      <c r="D124" t="s">
        <v>910</v>
      </c>
    </row>
    <row r="125" spans="8:8">
      <c r="A125">
        <v>124.0</v>
      </c>
      <c r="B125" t="s">
        <v>30</v>
      </c>
      <c r="C125" t="s">
        <v>911</v>
      </c>
      <c r="D125" t="s">
        <v>912</v>
      </c>
    </row>
    <row r="126" spans="8:8">
      <c r="A126">
        <v>125.0</v>
      </c>
      <c r="B126" t="s">
        <v>30</v>
      </c>
      <c r="C126" t="s">
        <v>913</v>
      </c>
      <c r="D126" t="s">
        <v>914</v>
      </c>
    </row>
    <row r="127" spans="8:8">
      <c r="A127">
        <v>126.0</v>
      </c>
      <c r="B127" t="s">
        <v>30</v>
      </c>
      <c r="C127" t="s">
        <v>915</v>
      </c>
      <c r="D127" t="s">
        <v>916</v>
      </c>
    </row>
    <row r="128" spans="8:8">
      <c r="A128">
        <v>127.0</v>
      </c>
      <c r="B128" t="s">
        <v>30</v>
      </c>
      <c r="C128" t="s">
        <v>917</v>
      </c>
      <c r="D128" t="s">
        <v>918</v>
      </c>
    </row>
    <row r="129" spans="8:8">
      <c r="A129">
        <v>128.0</v>
      </c>
      <c r="B129" t="s">
        <v>30</v>
      </c>
      <c r="C129" t="s">
        <v>919</v>
      </c>
      <c r="D129" t="s">
        <v>920</v>
      </c>
    </row>
    <row r="130" spans="8:8">
      <c r="A130">
        <v>129.0</v>
      </c>
      <c r="B130" t="s">
        <v>30</v>
      </c>
      <c r="C130" t="s">
        <v>921</v>
      </c>
      <c r="D130" t="s">
        <v>922</v>
      </c>
    </row>
    <row r="131" spans="8:8">
      <c r="A131">
        <v>130.0</v>
      </c>
      <c r="B131" t="s">
        <v>30</v>
      </c>
      <c r="C131" t="s">
        <v>923</v>
      </c>
      <c r="D131" t="s">
        <v>924</v>
      </c>
    </row>
    <row r="132" spans="8:8">
      <c r="A132">
        <v>131.0</v>
      </c>
      <c r="B132" t="s">
        <v>30</v>
      </c>
      <c r="C132" t="s">
        <v>925</v>
      </c>
      <c r="D132" t="s">
        <v>926</v>
      </c>
    </row>
    <row r="133" spans="8:8">
      <c r="A133">
        <v>132.0</v>
      </c>
      <c r="B133" t="s">
        <v>30</v>
      </c>
      <c r="C133" t="s">
        <v>927</v>
      </c>
      <c r="D133" t="s">
        <v>928</v>
      </c>
    </row>
    <row r="134" spans="8:8">
      <c r="A134">
        <v>133.0</v>
      </c>
      <c r="B134" t="s">
        <v>30</v>
      </c>
      <c r="C134" t="s">
        <v>929</v>
      </c>
      <c r="D134" t="s">
        <v>930</v>
      </c>
    </row>
    <row r="135" spans="8:8">
      <c r="A135">
        <v>134.0</v>
      </c>
      <c r="B135" t="s">
        <v>30</v>
      </c>
      <c r="C135" t="s">
        <v>931</v>
      </c>
      <c r="D135" t="s">
        <v>932</v>
      </c>
    </row>
    <row r="136" spans="8:8">
      <c r="A136">
        <v>135.0</v>
      </c>
      <c r="B136" t="s">
        <v>33</v>
      </c>
      <c r="C136" t="s">
        <v>933</v>
      </c>
      <c r="D136" t="s">
        <v>934</v>
      </c>
    </row>
    <row r="137" spans="8:8">
      <c r="A137">
        <v>136.0</v>
      </c>
      <c r="B137" t="s">
        <v>33</v>
      </c>
      <c r="C137" t="s">
        <v>935</v>
      </c>
      <c r="D137" t="s">
        <v>936</v>
      </c>
    </row>
    <row r="138" spans="8:8">
      <c r="A138">
        <v>137.0</v>
      </c>
      <c r="B138" t="s">
        <v>33</v>
      </c>
      <c r="C138" t="s">
        <v>937</v>
      </c>
      <c r="D138" t="s">
        <v>938</v>
      </c>
    </row>
    <row r="139" spans="8:8">
      <c r="A139">
        <v>138.0</v>
      </c>
      <c r="B139" t="s">
        <v>33</v>
      </c>
      <c r="C139" t="s">
        <v>939</v>
      </c>
      <c r="D139" t="s">
        <v>940</v>
      </c>
    </row>
    <row r="140" spans="8:8">
      <c r="A140">
        <v>139.0</v>
      </c>
      <c r="B140" t="s">
        <v>33</v>
      </c>
      <c r="C140" t="s">
        <v>941</v>
      </c>
      <c r="D140" t="s">
        <v>942</v>
      </c>
    </row>
    <row r="141" spans="8:8">
      <c r="A141">
        <v>140.0</v>
      </c>
      <c r="B141" t="s">
        <v>33</v>
      </c>
      <c r="C141" t="s">
        <v>943</v>
      </c>
      <c r="D141" t="s">
        <v>944</v>
      </c>
    </row>
    <row r="142" spans="8:8">
      <c r="A142">
        <v>141.0</v>
      </c>
      <c r="B142" t="s">
        <v>33</v>
      </c>
      <c r="C142" t="s">
        <v>945</v>
      </c>
      <c r="D142" t="s">
        <v>946</v>
      </c>
    </row>
    <row r="143" spans="8:8">
      <c r="A143">
        <v>142.0</v>
      </c>
      <c r="B143" t="s">
        <v>33</v>
      </c>
      <c r="C143" t="s">
        <v>947</v>
      </c>
      <c r="D143" t="s">
        <v>948</v>
      </c>
    </row>
    <row r="144" spans="8:8">
      <c r="A144">
        <v>143.0</v>
      </c>
      <c r="B144" t="s">
        <v>33</v>
      </c>
      <c r="C144" t="s">
        <v>949</v>
      </c>
      <c r="D144" t="s">
        <v>950</v>
      </c>
    </row>
    <row r="145" spans="8:8">
      <c r="A145">
        <v>144.0</v>
      </c>
      <c r="B145" t="s">
        <v>33</v>
      </c>
      <c r="C145" t="s">
        <v>951</v>
      </c>
      <c r="D145" t="s">
        <v>952</v>
      </c>
    </row>
    <row r="146" spans="8:8">
      <c r="A146">
        <v>145.0</v>
      </c>
      <c r="B146" t="s">
        <v>33</v>
      </c>
      <c r="C146" t="s">
        <v>953</v>
      </c>
      <c r="D146" t="s">
        <v>954</v>
      </c>
    </row>
    <row r="147" spans="8:8">
      <c r="A147">
        <v>146.0</v>
      </c>
      <c r="B147" t="s">
        <v>33</v>
      </c>
      <c r="C147" t="s">
        <v>955</v>
      </c>
      <c r="D147" t="s">
        <v>956</v>
      </c>
    </row>
    <row r="148" spans="8:8">
      <c r="A148">
        <v>147.0</v>
      </c>
      <c r="B148" t="s">
        <v>33</v>
      </c>
      <c r="C148" t="s">
        <v>957</v>
      </c>
      <c r="D148" t="s">
        <v>958</v>
      </c>
    </row>
    <row r="149" spans="8:8">
      <c r="A149">
        <v>148.0</v>
      </c>
      <c r="B149" t="s">
        <v>33</v>
      </c>
      <c r="C149" t="s">
        <v>959</v>
      </c>
      <c r="D149" t="s">
        <v>960</v>
      </c>
    </row>
    <row r="150" spans="8:8">
      <c r="A150">
        <v>149.0</v>
      </c>
      <c r="B150" t="s">
        <v>33</v>
      </c>
      <c r="C150" t="s">
        <v>961</v>
      </c>
      <c r="D150" t="s">
        <v>962</v>
      </c>
    </row>
    <row r="151" spans="8:8">
      <c r="A151">
        <v>150.0</v>
      </c>
      <c r="B151" t="s">
        <v>33</v>
      </c>
      <c r="C151" t="s">
        <v>963</v>
      </c>
      <c r="D151" t="s">
        <v>964</v>
      </c>
    </row>
    <row r="152" spans="8:8">
      <c r="A152">
        <v>151.0</v>
      </c>
      <c r="B152" t="s">
        <v>33</v>
      </c>
      <c r="C152" t="s">
        <v>965</v>
      </c>
      <c r="D152" t="s">
        <v>966</v>
      </c>
    </row>
    <row r="153" spans="8:8">
      <c r="A153">
        <v>152.0</v>
      </c>
      <c r="B153" t="s">
        <v>33</v>
      </c>
      <c r="C153" t="s">
        <v>967</v>
      </c>
      <c r="D153" t="s">
        <v>968</v>
      </c>
    </row>
    <row r="154" spans="8:8">
      <c r="A154">
        <v>153.0</v>
      </c>
      <c r="B154" t="s">
        <v>33</v>
      </c>
      <c r="C154" t="s">
        <v>969</v>
      </c>
      <c r="D154" t="s">
        <v>970</v>
      </c>
    </row>
    <row r="155" spans="8:8">
      <c r="A155">
        <v>154.0</v>
      </c>
      <c r="B155" t="s">
        <v>33</v>
      </c>
      <c r="C155" t="s">
        <v>971</v>
      </c>
      <c r="D155" t="s">
        <v>972</v>
      </c>
    </row>
    <row r="156" spans="8:8">
      <c r="A156">
        <v>155.0</v>
      </c>
      <c r="B156" t="s">
        <v>33</v>
      </c>
      <c r="C156" t="s">
        <v>973</v>
      </c>
      <c r="D156" t="s">
        <v>974</v>
      </c>
    </row>
    <row r="157" spans="8:8">
      <c r="A157">
        <v>156.0</v>
      </c>
      <c r="B157" t="s">
        <v>33</v>
      </c>
      <c r="C157" t="s">
        <v>975</v>
      </c>
      <c r="D157" t="s">
        <v>976</v>
      </c>
    </row>
    <row r="158" spans="8:8">
      <c r="A158">
        <v>157.0</v>
      </c>
      <c r="B158" t="s">
        <v>33</v>
      </c>
      <c r="C158" t="s">
        <v>977</v>
      </c>
      <c r="D158" t="s">
        <v>978</v>
      </c>
    </row>
    <row r="159" spans="8:8">
      <c r="A159">
        <v>158.0</v>
      </c>
      <c r="B159" t="s">
        <v>33</v>
      </c>
      <c r="C159" t="s">
        <v>979</v>
      </c>
      <c r="D159" t="s">
        <v>980</v>
      </c>
    </row>
    <row r="160" spans="8:8">
      <c r="A160">
        <v>159.0</v>
      </c>
      <c r="B160" t="s">
        <v>33</v>
      </c>
      <c r="C160" t="s">
        <v>981</v>
      </c>
      <c r="D160" t="s">
        <v>982</v>
      </c>
    </row>
    <row r="161" spans="8:8">
      <c r="A161">
        <v>160.0</v>
      </c>
      <c r="B161" t="s">
        <v>33</v>
      </c>
      <c r="C161" t="s">
        <v>983</v>
      </c>
      <c r="D161" t="s">
        <v>984</v>
      </c>
    </row>
    <row r="162" spans="8:8">
      <c r="A162">
        <v>161.0</v>
      </c>
      <c r="B162" t="s">
        <v>33</v>
      </c>
      <c r="C162" t="s">
        <v>985</v>
      </c>
      <c r="D162" t="s">
        <v>986</v>
      </c>
    </row>
    <row r="163" spans="8:8">
      <c r="A163">
        <v>162.0</v>
      </c>
      <c r="B163" t="s">
        <v>33</v>
      </c>
      <c r="C163" t="s">
        <v>987</v>
      </c>
      <c r="D163" t="s">
        <v>988</v>
      </c>
    </row>
    <row r="164" spans="8:8">
      <c r="A164">
        <v>163.0</v>
      </c>
      <c r="B164" t="s">
        <v>33</v>
      </c>
      <c r="C164" t="s">
        <v>989</v>
      </c>
      <c r="D164" t="s">
        <v>990</v>
      </c>
    </row>
    <row r="165" spans="8:8">
      <c r="A165">
        <v>164.0</v>
      </c>
      <c r="B165" t="s">
        <v>33</v>
      </c>
      <c r="C165" t="s">
        <v>991</v>
      </c>
      <c r="D165" t="s">
        <v>992</v>
      </c>
    </row>
    <row r="166" spans="8:8">
      <c r="A166">
        <v>165.0</v>
      </c>
      <c r="B166" t="s">
        <v>33</v>
      </c>
      <c r="C166" t="s">
        <v>993</v>
      </c>
      <c r="D166" t="s">
        <v>994</v>
      </c>
    </row>
    <row r="167" spans="8:8">
      <c r="A167">
        <v>166.0</v>
      </c>
      <c r="B167" t="s">
        <v>33</v>
      </c>
      <c r="C167" t="s">
        <v>995</v>
      </c>
      <c r="D167" t="s">
        <v>996</v>
      </c>
    </row>
    <row r="168" spans="8:8">
      <c r="A168">
        <v>167.0</v>
      </c>
      <c r="B168" t="s">
        <v>33</v>
      </c>
      <c r="C168" t="s">
        <v>997</v>
      </c>
      <c r="D168" t="s">
        <v>998</v>
      </c>
    </row>
    <row r="169" spans="8:8">
      <c r="A169">
        <v>168.0</v>
      </c>
      <c r="B169" t="s">
        <v>33</v>
      </c>
      <c r="C169" t="s">
        <v>999</v>
      </c>
      <c r="D169" t="s">
        <v>1000</v>
      </c>
    </row>
    <row r="170" spans="8:8">
      <c r="A170">
        <v>169.0</v>
      </c>
      <c r="B170" t="s">
        <v>33</v>
      </c>
      <c r="C170" t="s">
        <v>1001</v>
      </c>
      <c r="D170" t="s">
        <v>1002</v>
      </c>
    </row>
    <row r="171" spans="8:8">
      <c r="A171">
        <v>170.0</v>
      </c>
      <c r="B171" t="s">
        <v>33</v>
      </c>
      <c r="C171" t="s">
        <v>1003</v>
      </c>
      <c r="D171" t="s">
        <v>1004</v>
      </c>
    </row>
    <row r="172" spans="8:8">
      <c r="A172">
        <v>171.0</v>
      </c>
      <c r="B172" t="s">
        <v>33</v>
      </c>
      <c r="C172" t="s">
        <v>1005</v>
      </c>
      <c r="D172" t="s">
        <v>1006</v>
      </c>
    </row>
    <row r="173" spans="8:8">
      <c r="A173">
        <v>172.0</v>
      </c>
      <c r="B173" t="s">
        <v>33</v>
      </c>
      <c r="C173" t="s">
        <v>1007</v>
      </c>
      <c r="D173" t="s">
        <v>1008</v>
      </c>
    </row>
    <row r="174" spans="8:8">
      <c r="A174">
        <v>173.0</v>
      </c>
      <c r="B174" t="s">
        <v>33</v>
      </c>
      <c r="C174" t="s">
        <v>1009</v>
      </c>
      <c r="D174" t="s">
        <v>1010</v>
      </c>
    </row>
    <row r="175" spans="8:8">
      <c r="A175">
        <v>174.0</v>
      </c>
      <c r="B175" t="s">
        <v>33</v>
      </c>
      <c r="C175" t="s">
        <v>1011</v>
      </c>
      <c r="D175" t="s">
        <v>1012</v>
      </c>
    </row>
    <row r="176" spans="8:8">
      <c r="A176">
        <v>175.0</v>
      </c>
      <c r="B176" t="s">
        <v>33</v>
      </c>
      <c r="C176" t="s">
        <v>1013</v>
      </c>
      <c r="D176" t="s">
        <v>1014</v>
      </c>
    </row>
    <row r="177" spans="8:8">
      <c r="A177">
        <v>176.0</v>
      </c>
      <c r="B177" t="s">
        <v>33</v>
      </c>
      <c r="C177" t="s">
        <v>1015</v>
      </c>
      <c r="D177" t="s">
        <v>1016</v>
      </c>
    </row>
    <row r="178" spans="8:8">
      <c r="A178">
        <v>177.0</v>
      </c>
      <c r="B178" t="s">
        <v>33</v>
      </c>
      <c r="C178" t="s">
        <v>1017</v>
      </c>
      <c r="D178" t="s">
        <v>1018</v>
      </c>
    </row>
    <row r="179" spans="8:8">
      <c r="A179">
        <v>178.0</v>
      </c>
      <c r="B179" t="s">
        <v>33</v>
      </c>
      <c r="C179" t="s">
        <v>1019</v>
      </c>
      <c r="D179" t="s">
        <v>1020</v>
      </c>
    </row>
    <row r="180" spans="8:8">
      <c r="A180">
        <v>179.0</v>
      </c>
      <c r="B180" t="s">
        <v>33</v>
      </c>
      <c r="C180" t="s">
        <v>1021</v>
      </c>
      <c r="D180" t="s">
        <v>1022</v>
      </c>
    </row>
    <row r="181" spans="8:8">
      <c r="A181">
        <v>180.0</v>
      </c>
      <c r="B181" t="s">
        <v>33</v>
      </c>
      <c r="C181" t="s">
        <v>1023</v>
      </c>
      <c r="D181" t="s">
        <v>1024</v>
      </c>
    </row>
    <row r="182" spans="8:8">
      <c r="A182">
        <v>181.0</v>
      </c>
      <c r="B182" t="s">
        <v>33</v>
      </c>
      <c r="C182" t="s">
        <v>1025</v>
      </c>
      <c r="D182" t="s">
        <v>1026</v>
      </c>
    </row>
    <row r="183" spans="8:8">
      <c r="A183">
        <v>182.0</v>
      </c>
      <c r="B183" t="s">
        <v>33</v>
      </c>
      <c r="C183" t="s">
        <v>1027</v>
      </c>
      <c r="D183" t="s">
        <v>1028</v>
      </c>
    </row>
    <row r="184" spans="8:8">
      <c r="A184">
        <v>183.0</v>
      </c>
      <c r="B184" t="s">
        <v>33</v>
      </c>
      <c r="C184" t="s">
        <v>1029</v>
      </c>
      <c r="D184" t="s">
        <v>1030</v>
      </c>
    </row>
    <row r="185" spans="8:8">
      <c r="A185">
        <v>184.0</v>
      </c>
      <c r="B185" t="s">
        <v>33</v>
      </c>
      <c r="C185" t="s">
        <v>1031</v>
      </c>
      <c r="D185" t="s">
        <v>1032</v>
      </c>
    </row>
    <row r="186" spans="8:8">
      <c r="A186">
        <v>185.0</v>
      </c>
      <c r="B186" t="s">
        <v>33</v>
      </c>
      <c r="C186" t="s">
        <v>1033</v>
      </c>
      <c r="D186" t="s">
        <v>1034</v>
      </c>
    </row>
    <row r="187" spans="8:8">
      <c r="A187">
        <v>186.0</v>
      </c>
      <c r="B187" t="s">
        <v>33</v>
      </c>
      <c r="C187" t="s">
        <v>1035</v>
      </c>
      <c r="D187" t="s">
        <v>1036</v>
      </c>
    </row>
    <row r="188" spans="8:8">
      <c r="A188">
        <v>187.0</v>
      </c>
      <c r="B188" t="s">
        <v>39</v>
      </c>
      <c r="C188" t="s">
        <v>1037</v>
      </c>
      <c r="D188" t="s">
        <v>1038</v>
      </c>
    </row>
    <row r="189" spans="8:8">
      <c r="A189">
        <v>188.0</v>
      </c>
      <c r="B189" t="s">
        <v>39</v>
      </c>
      <c r="C189" t="s">
        <v>1039</v>
      </c>
      <c r="D189" t="s">
        <v>1040</v>
      </c>
    </row>
    <row r="190" spans="8:8">
      <c r="A190">
        <v>189.0</v>
      </c>
      <c r="B190" t="s">
        <v>39</v>
      </c>
      <c r="C190" t="s">
        <v>1041</v>
      </c>
      <c r="D190" t="s">
        <v>1042</v>
      </c>
    </row>
    <row r="191" spans="8:8">
      <c r="A191">
        <v>190.0</v>
      </c>
      <c r="B191" t="s">
        <v>39</v>
      </c>
      <c r="C191" t="s">
        <v>1043</v>
      </c>
      <c r="D191" t="s">
        <v>1044</v>
      </c>
    </row>
    <row r="192" spans="8:8">
      <c r="A192">
        <v>191.0</v>
      </c>
      <c r="B192" t="s">
        <v>39</v>
      </c>
      <c r="C192" t="s">
        <v>1045</v>
      </c>
      <c r="D192" t="s">
        <v>1046</v>
      </c>
    </row>
    <row r="193" spans="8:8">
      <c r="A193">
        <v>192.0</v>
      </c>
      <c r="B193" t="s">
        <v>39</v>
      </c>
      <c r="C193" t="s">
        <v>1047</v>
      </c>
      <c r="D193" t="s">
        <v>1048</v>
      </c>
    </row>
    <row r="194" spans="8:8">
      <c r="A194">
        <v>193.0</v>
      </c>
      <c r="B194" t="s">
        <v>39</v>
      </c>
      <c r="C194" t="s">
        <v>1049</v>
      </c>
      <c r="D194" t="s">
        <v>1050</v>
      </c>
    </row>
    <row r="195" spans="8:8">
      <c r="A195">
        <v>194.0</v>
      </c>
      <c r="B195" t="s">
        <v>39</v>
      </c>
      <c r="C195" t="s">
        <v>1051</v>
      </c>
      <c r="D195" t="s">
        <v>1052</v>
      </c>
    </row>
    <row r="196" spans="8:8">
      <c r="A196">
        <v>195.0</v>
      </c>
      <c r="B196" t="s">
        <v>39</v>
      </c>
      <c r="C196" t="s">
        <v>1053</v>
      </c>
      <c r="D196" t="s">
        <v>1054</v>
      </c>
    </row>
    <row r="197" spans="8:8">
      <c r="A197">
        <v>196.0</v>
      </c>
      <c r="B197" t="s">
        <v>39</v>
      </c>
      <c r="C197" t="s">
        <v>1055</v>
      </c>
      <c r="D197" t="s">
        <v>1056</v>
      </c>
    </row>
    <row r="198" spans="8:8">
      <c r="A198">
        <v>197.0</v>
      </c>
      <c r="B198" t="s">
        <v>39</v>
      </c>
      <c r="C198" t="s">
        <v>1057</v>
      </c>
      <c r="D198" t="s">
        <v>1058</v>
      </c>
    </row>
    <row r="199" spans="8:8">
      <c r="A199">
        <v>198.0</v>
      </c>
      <c r="B199" t="s">
        <v>39</v>
      </c>
      <c r="C199" t="s">
        <v>1059</v>
      </c>
      <c r="D199" t="s">
        <v>1060</v>
      </c>
    </row>
    <row r="200" spans="8:8">
      <c r="A200">
        <v>199.0</v>
      </c>
      <c r="B200" t="s">
        <v>39</v>
      </c>
      <c r="C200" t="s">
        <v>1061</v>
      </c>
      <c r="D200" t="s">
        <v>1062</v>
      </c>
    </row>
    <row r="201" spans="8:8">
      <c r="A201">
        <v>200.0</v>
      </c>
      <c r="B201" t="s">
        <v>39</v>
      </c>
      <c r="C201" t="s">
        <v>1063</v>
      </c>
      <c r="D201" t="s">
        <v>1064</v>
      </c>
    </row>
    <row r="202" spans="8:8">
      <c r="A202">
        <v>201.0</v>
      </c>
      <c r="B202" t="s">
        <v>39</v>
      </c>
      <c r="C202" t="s">
        <v>1065</v>
      </c>
      <c r="D202" t="s">
        <v>1066</v>
      </c>
    </row>
    <row r="203" spans="8:8">
      <c r="A203">
        <v>202.0</v>
      </c>
      <c r="B203" t="s">
        <v>39</v>
      </c>
      <c r="C203" t="s">
        <v>1067</v>
      </c>
      <c r="D203" t="s">
        <v>1068</v>
      </c>
    </row>
    <row r="204" spans="8:8">
      <c r="A204">
        <v>203.0</v>
      </c>
      <c r="B204" t="s">
        <v>39</v>
      </c>
      <c r="C204" t="s">
        <v>1069</v>
      </c>
      <c r="D204" t="s">
        <v>1070</v>
      </c>
    </row>
    <row r="205" spans="8:8">
      <c r="A205">
        <v>204.0</v>
      </c>
      <c r="B205" t="s">
        <v>39</v>
      </c>
      <c r="C205" t="s">
        <v>1071</v>
      </c>
      <c r="D205" t="s">
        <v>1072</v>
      </c>
    </row>
    <row r="206" spans="8:8">
      <c r="A206">
        <v>205.0</v>
      </c>
      <c r="B206" t="s">
        <v>39</v>
      </c>
      <c r="C206" t="s">
        <v>1073</v>
      </c>
      <c r="D206" t="s">
        <v>1074</v>
      </c>
    </row>
    <row r="207" spans="8:8">
      <c r="A207">
        <v>206.0</v>
      </c>
      <c r="B207" t="s">
        <v>39</v>
      </c>
      <c r="C207" t="s">
        <v>1075</v>
      </c>
      <c r="D207" t="s">
        <v>1076</v>
      </c>
    </row>
    <row r="208" spans="8:8">
      <c r="A208">
        <v>207.0</v>
      </c>
      <c r="B208" t="s">
        <v>39</v>
      </c>
      <c r="C208" t="s">
        <v>1077</v>
      </c>
      <c r="D208" t="s">
        <v>1078</v>
      </c>
    </row>
    <row r="209" spans="8:8">
      <c r="A209">
        <v>208.0</v>
      </c>
      <c r="B209" t="s">
        <v>39</v>
      </c>
      <c r="C209" t="s">
        <v>1079</v>
      </c>
      <c r="D209" t="s">
        <v>1080</v>
      </c>
    </row>
    <row r="210" spans="8:8">
      <c r="A210">
        <v>209.0</v>
      </c>
      <c r="B210" t="s">
        <v>39</v>
      </c>
      <c r="C210" t="s">
        <v>1081</v>
      </c>
      <c r="D210" t="s">
        <v>1082</v>
      </c>
    </row>
    <row r="211" spans="8:8">
      <c r="A211">
        <v>210.0</v>
      </c>
      <c r="B211" t="s">
        <v>39</v>
      </c>
      <c r="C211" t="s">
        <v>1083</v>
      </c>
      <c r="D211" t="s">
        <v>1084</v>
      </c>
    </row>
    <row r="212" spans="8:8">
      <c r="A212">
        <v>211.0</v>
      </c>
      <c r="B212" t="s">
        <v>39</v>
      </c>
      <c r="C212" t="s">
        <v>1085</v>
      </c>
      <c r="D212" t="s">
        <v>1086</v>
      </c>
    </row>
    <row r="213" spans="8:8">
      <c r="A213">
        <v>212.0</v>
      </c>
      <c r="B213" t="s">
        <v>39</v>
      </c>
      <c r="C213" t="s">
        <v>685</v>
      </c>
      <c r="D213" t="s">
        <v>1087</v>
      </c>
    </row>
    <row r="214" spans="8:8">
      <c r="A214">
        <v>213.0</v>
      </c>
      <c r="B214" t="s">
        <v>39</v>
      </c>
      <c r="C214" t="s">
        <v>1088</v>
      </c>
      <c r="D214" t="s">
        <v>1089</v>
      </c>
    </row>
    <row r="215" spans="8:8">
      <c r="A215">
        <v>214.0</v>
      </c>
      <c r="B215" t="s">
        <v>39</v>
      </c>
      <c r="C215" t="s">
        <v>1090</v>
      </c>
      <c r="D215" t="s">
        <v>1091</v>
      </c>
    </row>
    <row r="216" spans="8:8">
      <c r="A216">
        <v>215.0</v>
      </c>
      <c r="B216" t="s">
        <v>39</v>
      </c>
      <c r="C216" t="s">
        <v>1041</v>
      </c>
      <c r="D216" t="s">
        <v>1092</v>
      </c>
    </row>
    <row r="217" spans="8:8">
      <c r="A217">
        <v>216.0</v>
      </c>
      <c r="B217" t="s">
        <v>39</v>
      </c>
      <c r="C217" t="s">
        <v>1093</v>
      </c>
      <c r="D217" t="s">
        <v>1094</v>
      </c>
    </row>
    <row r="218" spans="8:8">
      <c r="A218">
        <v>217.0</v>
      </c>
      <c r="B218" t="s">
        <v>39</v>
      </c>
      <c r="C218" t="s">
        <v>1095</v>
      </c>
      <c r="D218" t="s">
        <v>1096</v>
      </c>
    </row>
    <row r="219" spans="8:8">
      <c r="A219">
        <v>218.0</v>
      </c>
      <c r="B219" t="s">
        <v>39</v>
      </c>
      <c r="C219" t="s">
        <v>1097</v>
      </c>
      <c r="D219" t="s">
        <v>1098</v>
      </c>
    </row>
    <row r="220" spans="8:8">
      <c r="A220">
        <v>219.0</v>
      </c>
      <c r="B220" t="s">
        <v>39</v>
      </c>
      <c r="C220" t="s">
        <v>1099</v>
      </c>
      <c r="D220" t="s">
        <v>1100</v>
      </c>
    </row>
    <row r="221" spans="8:8">
      <c r="A221">
        <v>220.0</v>
      </c>
      <c r="B221" t="s">
        <v>39</v>
      </c>
      <c r="C221" t="s">
        <v>1101</v>
      </c>
      <c r="D221" t="s">
        <v>1102</v>
      </c>
    </row>
    <row r="222" spans="8:8">
      <c r="A222">
        <v>221.0</v>
      </c>
      <c r="B222" t="s">
        <v>39</v>
      </c>
      <c r="C222" t="s">
        <v>1103</v>
      </c>
      <c r="D222" t="s">
        <v>1104</v>
      </c>
    </row>
    <row r="223" spans="8:8">
      <c r="A223">
        <v>222.0</v>
      </c>
      <c r="B223" t="s">
        <v>39</v>
      </c>
      <c r="C223" t="s">
        <v>1105</v>
      </c>
      <c r="D223" t="s">
        <v>1106</v>
      </c>
    </row>
    <row r="224" spans="8:8">
      <c r="A224">
        <v>223.0</v>
      </c>
      <c r="B224" t="s">
        <v>39</v>
      </c>
      <c r="C224" t="s">
        <v>1107</v>
      </c>
      <c r="D224" t="s">
        <v>1108</v>
      </c>
    </row>
    <row r="225" spans="8:8">
      <c r="A225">
        <v>224.0</v>
      </c>
      <c r="B225" t="s">
        <v>39</v>
      </c>
      <c r="C225" t="s">
        <v>1109</v>
      </c>
      <c r="D225" t="s">
        <v>1110</v>
      </c>
    </row>
    <row r="226" spans="8:8">
      <c r="A226">
        <v>225.0</v>
      </c>
      <c r="B226" t="s">
        <v>39</v>
      </c>
      <c r="C226" t="s">
        <v>1111</v>
      </c>
      <c r="D226" t="s">
        <v>1112</v>
      </c>
    </row>
    <row r="227" spans="8:8">
      <c r="A227">
        <v>226.0</v>
      </c>
      <c r="B227" t="s">
        <v>39</v>
      </c>
      <c r="C227" t="s">
        <v>1113</v>
      </c>
      <c r="D227" t="s">
        <v>1114</v>
      </c>
    </row>
    <row r="228" spans="8:8">
      <c r="A228">
        <v>227.0</v>
      </c>
      <c r="B228" t="s">
        <v>39</v>
      </c>
      <c r="C228" t="s">
        <v>1115</v>
      </c>
      <c r="D228" t="s">
        <v>1116</v>
      </c>
    </row>
    <row r="229" spans="8:8">
      <c r="A229">
        <v>228.0</v>
      </c>
      <c r="B229" t="s">
        <v>39</v>
      </c>
      <c r="C229" t="s">
        <v>1117</v>
      </c>
      <c r="D229" t="s">
        <v>1118</v>
      </c>
    </row>
    <row r="230" spans="8:8">
      <c r="A230">
        <v>229.0</v>
      </c>
      <c r="B230" t="s">
        <v>39</v>
      </c>
      <c r="C230" t="s">
        <v>1119</v>
      </c>
      <c r="D230" t="s">
        <v>1120</v>
      </c>
    </row>
    <row r="231" spans="8:8">
      <c r="A231">
        <v>230.0</v>
      </c>
      <c r="B231" t="s">
        <v>39</v>
      </c>
      <c r="C231" t="s">
        <v>1121</v>
      </c>
      <c r="D231" t="s">
        <v>1122</v>
      </c>
    </row>
    <row r="232" spans="8:8">
      <c r="A232">
        <v>231.0</v>
      </c>
      <c r="B232" t="s">
        <v>39</v>
      </c>
      <c r="C232" t="s">
        <v>1123</v>
      </c>
      <c r="D232" t="s">
        <v>1124</v>
      </c>
    </row>
    <row r="233" spans="8:8">
      <c r="A233">
        <v>232.0</v>
      </c>
      <c r="B233" t="s">
        <v>39</v>
      </c>
      <c r="C233" t="s">
        <v>1125</v>
      </c>
      <c r="D233" t="s">
        <v>1126</v>
      </c>
    </row>
    <row r="234" spans="8:8">
      <c r="A234">
        <v>233.0</v>
      </c>
      <c r="B234" t="s">
        <v>39</v>
      </c>
      <c r="C234" t="s">
        <v>1127</v>
      </c>
      <c r="D234" t="s">
        <v>1128</v>
      </c>
    </row>
    <row r="235" spans="8:8">
      <c r="A235">
        <v>234.0</v>
      </c>
      <c r="B235" t="s">
        <v>39</v>
      </c>
      <c r="C235" t="s">
        <v>1129</v>
      </c>
      <c r="D235" t="s">
        <v>1130</v>
      </c>
    </row>
    <row r="236" spans="8:8">
      <c r="A236">
        <v>235.0</v>
      </c>
      <c r="B236" t="s">
        <v>39</v>
      </c>
      <c r="C236" t="s">
        <v>1131</v>
      </c>
      <c r="D236" t="s">
        <v>1132</v>
      </c>
    </row>
    <row r="237" spans="8:8">
      <c r="A237">
        <v>236.0</v>
      </c>
      <c r="B237" t="s">
        <v>39</v>
      </c>
      <c r="C237" t="s">
        <v>1133</v>
      </c>
      <c r="D237" t="s">
        <v>1134</v>
      </c>
    </row>
    <row r="238" spans="8:8">
      <c r="A238">
        <v>237.0</v>
      </c>
      <c r="B238" t="s">
        <v>39</v>
      </c>
      <c r="C238" t="s">
        <v>1135</v>
      </c>
      <c r="D238" t="s">
        <v>1136</v>
      </c>
    </row>
    <row r="239" spans="8:8">
      <c r="A239">
        <v>238.0</v>
      </c>
      <c r="B239" t="s">
        <v>39</v>
      </c>
      <c r="C239" t="s">
        <v>1137</v>
      </c>
      <c r="D239" t="s">
        <v>1138</v>
      </c>
    </row>
    <row r="240" spans="8:8">
      <c r="A240">
        <v>239.0</v>
      </c>
      <c r="B240" t="s">
        <v>39</v>
      </c>
      <c r="C240" t="s">
        <v>1139</v>
      </c>
      <c r="D240" t="s">
        <v>1140</v>
      </c>
    </row>
    <row r="241" spans="8:8">
      <c r="A241">
        <v>240.0</v>
      </c>
      <c r="B241" t="s">
        <v>39</v>
      </c>
      <c r="C241" t="s">
        <v>1141</v>
      </c>
      <c r="D241" t="s">
        <v>1142</v>
      </c>
    </row>
    <row r="242" spans="8:8">
      <c r="A242">
        <v>241.0</v>
      </c>
      <c r="B242" t="s">
        <v>39</v>
      </c>
      <c r="C242" t="s">
        <v>1143</v>
      </c>
      <c r="D242" t="s">
        <v>1144</v>
      </c>
    </row>
    <row r="243" spans="8:8">
      <c r="A243">
        <v>242.0</v>
      </c>
      <c r="B243" t="s">
        <v>39</v>
      </c>
      <c r="C243" t="s">
        <v>1145</v>
      </c>
      <c r="D243" t="s">
        <v>1146</v>
      </c>
    </row>
    <row r="244" spans="8:8">
      <c r="A244">
        <v>243.0</v>
      </c>
      <c r="B244" t="s">
        <v>39</v>
      </c>
      <c r="C244" t="s">
        <v>1147</v>
      </c>
      <c r="D244" t="s">
        <v>1148</v>
      </c>
    </row>
    <row r="245" spans="8:8">
      <c r="A245">
        <v>244.0</v>
      </c>
      <c r="B245" t="s">
        <v>39</v>
      </c>
      <c r="C245" t="s">
        <v>1149</v>
      </c>
      <c r="D245" t="s">
        <v>1150</v>
      </c>
    </row>
    <row r="246" spans="8:8">
      <c r="A246">
        <v>245.0</v>
      </c>
      <c r="B246" t="s">
        <v>39</v>
      </c>
      <c r="C246" t="s">
        <v>1151</v>
      </c>
      <c r="D246" t="s">
        <v>1152</v>
      </c>
    </row>
    <row r="247" spans="8:8">
      <c r="A247">
        <v>246.0</v>
      </c>
      <c r="B247" t="s">
        <v>39</v>
      </c>
      <c r="C247" t="s">
        <v>1153</v>
      </c>
      <c r="D247" t="s">
        <v>1154</v>
      </c>
    </row>
    <row r="248" spans="8:8">
      <c r="A248">
        <v>247.0</v>
      </c>
      <c r="B248" t="s">
        <v>39</v>
      </c>
      <c r="C248" t="s">
        <v>1155</v>
      </c>
      <c r="D248" t="s">
        <v>1156</v>
      </c>
    </row>
    <row r="249" spans="8:8">
      <c r="A249">
        <v>248.0</v>
      </c>
      <c r="B249" t="s">
        <v>39</v>
      </c>
      <c r="C249" t="s">
        <v>1157</v>
      </c>
      <c r="D249" t="s">
        <v>1158</v>
      </c>
    </row>
    <row r="250" spans="8:8">
      <c r="A250">
        <v>249.0</v>
      </c>
      <c r="B250" t="s">
        <v>39</v>
      </c>
      <c r="C250" t="s">
        <v>1159</v>
      </c>
      <c r="D250" t="s">
        <v>1160</v>
      </c>
    </row>
    <row r="251" spans="8:8">
      <c r="A251">
        <v>250.0</v>
      </c>
      <c r="B251" t="s">
        <v>39</v>
      </c>
      <c r="C251" t="s">
        <v>1161</v>
      </c>
      <c r="D251" t="s">
        <v>1162</v>
      </c>
    </row>
    <row r="252" spans="8:8">
      <c r="A252">
        <v>251.0</v>
      </c>
      <c r="B252" t="s">
        <v>39</v>
      </c>
      <c r="C252" t="s">
        <v>1163</v>
      </c>
      <c r="D252" t="s">
        <v>1164</v>
      </c>
    </row>
    <row r="253" spans="8:8">
      <c r="A253">
        <v>252.0</v>
      </c>
      <c r="B253" t="s">
        <v>39</v>
      </c>
      <c r="C253" t="s">
        <v>1165</v>
      </c>
      <c r="D253" t="s">
        <v>1166</v>
      </c>
    </row>
    <row r="254" spans="8:8">
      <c r="A254">
        <v>253.0</v>
      </c>
      <c r="B254" t="s">
        <v>39</v>
      </c>
      <c r="C254" t="s">
        <v>689</v>
      </c>
      <c r="D254" t="s">
        <v>1167</v>
      </c>
    </row>
    <row r="255" spans="8:8">
      <c r="A255">
        <v>254.0</v>
      </c>
      <c r="B255" t="s">
        <v>39</v>
      </c>
      <c r="C255" t="s">
        <v>1168</v>
      </c>
      <c r="D255" t="s">
        <v>1169</v>
      </c>
    </row>
    <row r="256" spans="8:8">
      <c r="A256">
        <v>255.0</v>
      </c>
      <c r="B256" t="s">
        <v>39</v>
      </c>
      <c r="C256" t="s">
        <v>1170</v>
      </c>
      <c r="D256" t="s">
        <v>1171</v>
      </c>
    </row>
    <row r="257" spans="8:8">
      <c r="A257">
        <v>256.0</v>
      </c>
      <c r="B257" t="s">
        <v>39</v>
      </c>
      <c r="C257" t="s">
        <v>1172</v>
      </c>
      <c r="D257" t="s">
        <v>1173</v>
      </c>
    </row>
    <row r="258" spans="8:8">
      <c r="A258">
        <v>257.0</v>
      </c>
      <c r="B258" t="s">
        <v>39</v>
      </c>
      <c r="C258" t="s">
        <v>1174</v>
      </c>
      <c r="D258" t="s">
        <v>1175</v>
      </c>
    </row>
    <row r="259" spans="8:8">
      <c r="A259">
        <v>258.0</v>
      </c>
      <c r="B259" t="s">
        <v>39</v>
      </c>
      <c r="C259" t="s">
        <v>1176</v>
      </c>
      <c r="D259" t="s">
        <v>1177</v>
      </c>
    </row>
    <row r="260" spans="8:8">
      <c r="A260">
        <v>259.0</v>
      </c>
      <c r="B260" t="s">
        <v>39</v>
      </c>
      <c r="C260" t="s">
        <v>1178</v>
      </c>
      <c r="D260" t="s">
        <v>1179</v>
      </c>
    </row>
    <row r="261" spans="8:8">
      <c r="A261">
        <v>260.0</v>
      </c>
      <c r="B261" t="s">
        <v>39</v>
      </c>
      <c r="C261" t="s">
        <v>1180</v>
      </c>
      <c r="D261" t="s">
        <v>1181</v>
      </c>
    </row>
    <row r="262" spans="8:8">
      <c r="A262">
        <v>261.0</v>
      </c>
      <c r="B262" t="s">
        <v>39</v>
      </c>
      <c r="C262" t="s">
        <v>1182</v>
      </c>
      <c r="D262" t="s">
        <v>1183</v>
      </c>
    </row>
    <row r="263" spans="8:8">
      <c r="A263">
        <v>262.0</v>
      </c>
      <c r="B263" t="s">
        <v>39</v>
      </c>
      <c r="C263" t="s">
        <v>1184</v>
      </c>
      <c r="D263" t="s">
        <v>1185</v>
      </c>
    </row>
    <row r="264" spans="8:8">
      <c r="A264">
        <v>263.0</v>
      </c>
      <c r="B264" t="s">
        <v>39</v>
      </c>
      <c r="C264" t="s">
        <v>1186</v>
      </c>
      <c r="D264" t="s">
        <v>1187</v>
      </c>
    </row>
    <row r="265" spans="8:8">
      <c r="A265">
        <v>264.0</v>
      </c>
      <c r="B265" t="s">
        <v>39</v>
      </c>
      <c r="C265" t="s">
        <v>1188</v>
      </c>
      <c r="D265" t="s">
        <v>1189</v>
      </c>
    </row>
    <row r="266" spans="8:8">
      <c r="A266">
        <v>265.0</v>
      </c>
      <c r="B266" t="s">
        <v>39</v>
      </c>
      <c r="C266" t="s">
        <v>1190</v>
      </c>
      <c r="D266" t="s">
        <v>1191</v>
      </c>
    </row>
    <row r="267" spans="8:8">
      <c r="A267">
        <v>266.0</v>
      </c>
      <c r="B267" t="s">
        <v>39</v>
      </c>
      <c r="C267" t="s">
        <v>1192</v>
      </c>
      <c r="D267" t="s">
        <v>1193</v>
      </c>
    </row>
    <row r="268" spans="8:8">
      <c r="A268">
        <v>267.0</v>
      </c>
      <c r="B268" t="s">
        <v>39</v>
      </c>
      <c r="C268" t="s">
        <v>1194</v>
      </c>
      <c r="D268" t="s">
        <v>1195</v>
      </c>
    </row>
    <row r="269" spans="8:8">
      <c r="A269">
        <v>268.0</v>
      </c>
      <c r="B269" t="s">
        <v>39</v>
      </c>
      <c r="C269" t="s">
        <v>1196</v>
      </c>
      <c r="D269" t="s">
        <v>1197</v>
      </c>
    </row>
    <row r="270" spans="8:8">
      <c r="A270">
        <v>269.0</v>
      </c>
      <c r="B270" t="s">
        <v>39</v>
      </c>
      <c r="C270" t="s">
        <v>1198</v>
      </c>
      <c r="D270" t="s">
        <v>1199</v>
      </c>
    </row>
    <row r="271" spans="8:8">
      <c r="A271">
        <v>270.0</v>
      </c>
      <c r="B271" t="s">
        <v>39</v>
      </c>
      <c r="C271" t="s">
        <v>1200</v>
      </c>
      <c r="D271" t="s">
        <v>1201</v>
      </c>
    </row>
    <row r="272" spans="8:8">
      <c r="A272">
        <v>271.0</v>
      </c>
      <c r="B272" t="s">
        <v>39</v>
      </c>
      <c r="C272" t="s">
        <v>1202</v>
      </c>
      <c r="D272" t="s">
        <v>1203</v>
      </c>
    </row>
    <row r="273" spans="8:8">
      <c r="A273">
        <v>272.0</v>
      </c>
      <c r="B273" t="s">
        <v>39</v>
      </c>
      <c r="C273" t="s">
        <v>1204</v>
      </c>
      <c r="D273" t="s">
        <v>1205</v>
      </c>
    </row>
    <row r="274" spans="8:8">
      <c r="A274">
        <v>273.0</v>
      </c>
      <c r="B274" t="s">
        <v>39</v>
      </c>
      <c r="C274" t="s">
        <v>1206</v>
      </c>
      <c r="D274" t="s">
        <v>1207</v>
      </c>
    </row>
    <row r="275" spans="8:8">
      <c r="A275">
        <v>274.0</v>
      </c>
      <c r="B275" t="s">
        <v>39</v>
      </c>
      <c r="C275" t="s">
        <v>1208</v>
      </c>
      <c r="D275" t="s">
        <v>1209</v>
      </c>
    </row>
    <row r="276" spans="8:8">
      <c r="A276">
        <v>275.0</v>
      </c>
      <c r="B276" t="s">
        <v>39</v>
      </c>
      <c r="C276" t="s">
        <v>1210</v>
      </c>
      <c r="D276" t="s">
        <v>1211</v>
      </c>
    </row>
    <row r="277" spans="8:8">
      <c r="A277">
        <v>276.0</v>
      </c>
      <c r="B277" t="s">
        <v>39</v>
      </c>
      <c r="C277" t="s">
        <v>1212</v>
      </c>
      <c r="D277" t="s">
        <v>1213</v>
      </c>
    </row>
    <row r="278" spans="8:8">
      <c r="A278">
        <v>277.0</v>
      </c>
      <c r="B278" t="s">
        <v>39</v>
      </c>
      <c r="C278" t="s">
        <v>1214</v>
      </c>
      <c r="D278" t="s">
        <v>1215</v>
      </c>
    </row>
    <row r="279" spans="8:8">
      <c r="A279">
        <v>278.0</v>
      </c>
      <c r="B279" t="s">
        <v>39</v>
      </c>
      <c r="C279" t="s">
        <v>1216</v>
      </c>
      <c r="D279" t="s">
        <v>1217</v>
      </c>
    </row>
    <row r="280" spans="8:8">
      <c r="A280">
        <v>279.0</v>
      </c>
      <c r="B280" t="s">
        <v>39</v>
      </c>
      <c r="C280" t="s">
        <v>1218</v>
      </c>
      <c r="D280" t="s">
        <v>1219</v>
      </c>
    </row>
    <row r="281" spans="8:8">
      <c r="A281">
        <v>280.0</v>
      </c>
      <c r="B281" t="s">
        <v>39</v>
      </c>
      <c r="C281" t="s">
        <v>1220</v>
      </c>
      <c r="D281" t="s">
        <v>1221</v>
      </c>
    </row>
    <row r="282" spans="8:8">
      <c r="A282">
        <v>281.0</v>
      </c>
      <c r="B282" t="s">
        <v>42</v>
      </c>
      <c r="C282" t="s">
        <v>1222</v>
      </c>
      <c r="D282" t="s">
        <v>1223</v>
      </c>
    </row>
    <row r="283" spans="8:8">
      <c r="A283">
        <v>282.0</v>
      </c>
      <c r="B283" t="s">
        <v>42</v>
      </c>
      <c r="C283" t="s">
        <v>1224</v>
      </c>
      <c r="D283" t="s">
        <v>1225</v>
      </c>
    </row>
    <row r="284" spans="8:8">
      <c r="A284">
        <v>283.0</v>
      </c>
      <c r="B284" t="s">
        <v>42</v>
      </c>
      <c r="C284" t="s">
        <v>1226</v>
      </c>
      <c r="D284" t="s">
        <v>1227</v>
      </c>
    </row>
    <row r="285" spans="8:8">
      <c r="A285">
        <v>284.0</v>
      </c>
      <c r="B285" t="s">
        <v>42</v>
      </c>
      <c r="C285" t="s">
        <v>1228</v>
      </c>
      <c r="D285" t="s">
        <v>1229</v>
      </c>
    </row>
    <row r="286" spans="8:8">
      <c r="A286">
        <v>285.0</v>
      </c>
      <c r="B286" t="s">
        <v>42</v>
      </c>
      <c r="C286" t="s">
        <v>1230</v>
      </c>
      <c r="D286" t="s">
        <v>1231</v>
      </c>
    </row>
    <row r="287" spans="8:8">
      <c r="A287">
        <v>286.0</v>
      </c>
      <c r="B287" t="s">
        <v>42</v>
      </c>
      <c r="C287" t="s">
        <v>1232</v>
      </c>
      <c r="D287" t="s">
        <v>1233</v>
      </c>
    </row>
    <row r="288" spans="8:8">
      <c r="A288">
        <v>287.0</v>
      </c>
      <c r="B288" t="s">
        <v>42</v>
      </c>
      <c r="C288" t="s">
        <v>1234</v>
      </c>
      <c r="D288" t="s">
        <v>1235</v>
      </c>
    </row>
    <row r="289" spans="8:8">
      <c r="A289">
        <v>288.0</v>
      </c>
      <c r="B289" t="s">
        <v>42</v>
      </c>
      <c r="C289" t="s">
        <v>1236</v>
      </c>
      <c r="D289" t="s">
        <v>1237</v>
      </c>
    </row>
    <row r="290" spans="8:8">
      <c r="A290">
        <v>289.0</v>
      </c>
      <c r="B290" t="s">
        <v>42</v>
      </c>
      <c r="C290" t="s">
        <v>1238</v>
      </c>
      <c r="D290" t="s">
        <v>1239</v>
      </c>
    </row>
    <row r="291" spans="8:8">
      <c r="A291">
        <v>290.0</v>
      </c>
      <c r="B291" t="s">
        <v>42</v>
      </c>
      <c r="C291" t="s">
        <v>1240</v>
      </c>
      <c r="D291" t="s">
        <v>1241</v>
      </c>
    </row>
    <row r="292" spans="8:8">
      <c r="A292">
        <v>291.0</v>
      </c>
      <c r="B292" t="s">
        <v>42</v>
      </c>
      <c r="C292" t="s">
        <v>1242</v>
      </c>
      <c r="D292" t="s">
        <v>1243</v>
      </c>
    </row>
    <row r="293" spans="8:8">
      <c r="A293">
        <v>292.0</v>
      </c>
      <c r="B293" t="s">
        <v>42</v>
      </c>
      <c r="C293" t="s">
        <v>1244</v>
      </c>
      <c r="D293" t="s">
        <v>1245</v>
      </c>
    </row>
    <row r="294" spans="8:8">
      <c r="A294">
        <v>293.0</v>
      </c>
      <c r="B294" t="s">
        <v>42</v>
      </c>
      <c r="C294" t="s">
        <v>1246</v>
      </c>
      <c r="D294" t="s">
        <v>1247</v>
      </c>
    </row>
    <row r="295" spans="8:8">
      <c r="A295">
        <v>294.0</v>
      </c>
      <c r="B295" t="s">
        <v>42</v>
      </c>
      <c r="C295" t="s">
        <v>1248</v>
      </c>
      <c r="D295" t="s">
        <v>1249</v>
      </c>
    </row>
    <row r="296" spans="8:8">
      <c r="A296">
        <v>295.0</v>
      </c>
      <c r="B296" t="s">
        <v>42</v>
      </c>
      <c r="C296" t="s">
        <v>1250</v>
      </c>
      <c r="D296" t="s">
        <v>1251</v>
      </c>
    </row>
    <row r="297" spans="8:8">
      <c r="A297">
        <v>296.0</v>
      </c>
      <c r="B297" t="s">
        <v>42</v>
      </c>
      <c r="C297" t="s">
        <v>1252</v>
      </c>
      <c r="D297" t="s">
        <v>1253</v>
      </c>
    </row>
    <row r="298" spans="8:8">
      <c r="A298">
        <v>297.0</v>
      </c>
      <c r="B298" t="s">
        <v>42</v>
      </c>
      <c r="C298" t="s">
        <v>1254</v>
      </c>
      <c r="D298" t="s">
        <v>1255</v>
      </c>
    </row>
    <row r="299" spans="8:8">
      <c r="A299">
        <v>298.0</v>
      </c>
      <c r="B299" t="s">
        <v>42</v>
      </c>
      <c r="C299" t="s">
        <v>1256</v>
      </c>
      <c r="D299" t="s">
        <v>1257</v>
      </c>
    </row>
    <row r="300" spans="8:8">
      <c r="A300">
        <v>299.0</v>
      </c>
      <c r="B300" t="s">
        <v>42</v>
      </c>
      <c r="C300" t="s">
        <v>1258</v>
      </c>
      <c r="D300" t="s">
        <v>1259</v>
      </c>
    </row>
    <row r="301" spans="8:8">
      <c r="A301">
        <v>300.0</v>
      </c>
      <c r="B301" t="s">
        <v>42</v>
      </c>
      <c r="C301" t="s">
        <v>1260</v>
      </c>
      <c r="D301" t="s">
        <v>1261</v>
      </c>
    </row>
    <row r="302" spans="8:8">
      <c r="A302">
        <v>301.0</v>
      </c>
      <c r="B302" t="s">
        <v>42</v>
      </c>
      <c r="C302" t="s">
        <v>1262</v>
      </c>
      <c r="D302" t="s">
        <v>1263</v>
      </c>
    </row>
    <row r="303" spans="8:8">
      <c r="A303">
        <v>302.0</v>
      </c>
      <c r="B303" t="s">
        <v>42</v>
      </c>
      <c r="C303" t="s">
        <v>1264</v>
      </c>
      <c r="D303" t="s">
        <v>1265</v>
      </c>
    </row>
    <row r="304" spans="8:8">
      <c r="A304">
        <v>303.0</v>
      </c>
      <c r="B304" t="s">
        <v>42</v>
      </c>
      <c r="C304" t="s">
        <v>1266</v>
      </c>
      <c r="D304" t="s">
        <v>1267</v>
      </c>
    </row>
    <row r="305" spans="8:8">
      <c r="A305">
        <v>304.0</v>
      </c>
      <c r="B305" t="s">
        <v>42</v>
      </c>
      <c r="C305" t="s">
        <v>1268</v>
      </c>
      <c r="D305" t="s">
        <v>1269</v>
      </c>
    </row>
    <row r="306" spans="8:8">
      <c r="A306">
        <v>305.0</v>
      </c>
      <c r="B306" t="s">
        <v>42</v>
      </c>
      <c r="C306" t="s">
        <v>1270</v>
      </c>
      <c r="D306" t="s">
        <v>1271</v>
      </c>
    </row>
    <row r="307" spans="8:8">
      <c r="A307">
        <v>306.0</v>
      </c>
      <c r="B307" t="s">
        <v>42</v>
      </c>
      <c r="C307" t="s">
        <v>1272</v>
      </c>
      <c r="D307" t="s">
        <v>1273</v>
      </c>
    </row>
    <row r="308" spans="8:8">
      <c r="A308">
        <v>307.0</v>
      </c>
      <c r="B308" t="s">
        <v>42</v>
      </c>
      <c r="C308" t="s">
        <v>1274</v>
      </c>
      <c r="D308" t="s">
        <v>1275</v>
      </c>
    </row>
    <row r="309" spans="8:8">
      <c r="A309">
        <v>308.0</v>
      </c>
      <c r="B309" t="s">
        <v>42</v>
      </c>
      <c r="C309" t="s">
        <v>1276</v>
      </c>
      <c r="D309" t="s">
        <v>1277</v>
      </c>
    </row>
    <row r="310" spans="8:8">
      <c r="A310">
        <v>309.0</v>
      </c>
      <c r="B310" t="s">
        <v>42</v>
      </c>
      <c r="C310" t="s">
        <v>1278</v>
      </c>
      <c r="D310" t="s">
        <v>1279</v>
      </c>
    </row>
    <row r="311" spans="8:8">
      <c r="A311">
        <v>310.0</v>
      </c>
      <c r="B311" t="s">
        <v>42</v>
      </c>
      <c r="C311" t="s">
        <v>1280</v>
      </c>
      <c r="D311" t="s">
        <v>1281</v>
      </c>
    </row>
    <row r="312" spans="8:8">
      <c r="A312">
        <v>311.0</v>
      </c>
      <c r="B312" t="s">
        <v>42</v>
      </c>
      <c r="C312" t="s">
        <v>1208</v>
      </c>
      <c r="D312" t="s">
        <v>1282</v>
      </c>
    </row>
    <row r="313" spans="8:8">
      <c r="A313">
        <v>312.0</v>
      </c>
      <c r="B313" t="s">
        <v>42</v>
      </c>
      <c r="C313" t="s">
        <v>1283</v>
      </c>
      <c r="D313" t="s">
        <v>1284</v>
      </c>
    </row>
    <row r="314" spans="8:8">
      <c r="A314">
        <v>313.0</v>
      </c>
      <c r="B314" t="s">
        <v>42</v>
      </c>
      <c r="C314" t="s">
        <v>1285</v>
      </c>
      <c r="D314" t="s">
        <v>1286</v>
      </c>
    </row>
    <row r="315" spans="8:8">
      <c r="A315">
        <v>314.0</v>
      </c>
      <c r="B315" t="s">
        <v>42</v>
      </c>
      <c r="C315" t="s">
        <v>1287</v>
      </c>
      <c r="D315" t="s">
        <v>1288</v>
      </c>
    </row>
    <row r="316" spans="8:8">
      <c r="A316">
        <v>315.0</v>
      </c>
      <c r="B316" t="s">
        <v>42</v>
      </c>
      <c r="C316" t="s">
        <v>1289</v>
      </c>
      <c r="D316" t="s">
        <v>1241</v>
      </c>
    </row>
    <row r="317" spans="8:8">
      <c r="A317">
        <v>316.0</v>
      </c>
      <c r="B317" t="s">
        <v>42</v>
      </c>
      <c r="C317" t="s">
        <v>1290</v>
      </c>
      <c r="D317" t="s">
        <v>1291</v>
      </c>
    </row>
    <row r="318" spans="8:8">
      <c r="A318">
        <v>317.0</v>
      </c>
      <c r="B318" t="s">
        <v>42</v>
      </c>
      <c r="C318" t="s">
        <v>1292</v>
      </c>
      <c r="D318" t="s">
        <v>1293</v>
      </c>
    </row>
    <row r="319" spans="8:8">
      <c r="A319">
        <v>318.0</v>
      </c>
      <c r="B319" t="s">
        <v>42</v>
      </c>
      <c r="C319" t="s">
        <v>1294</v>
      </c>
      <c r="D319" t="s">
        <v>1295</v>
      </c>
    </row>
    <row r="320" spans="8:8">
      <c r="A320">
        <v>319.0</v>
      </c>
      <c r="B320" t="s">
        <v>42</v>
      </c>
      <c r="C320" t="s">
        <v>1296</v>
      </c>
      <c r="D320" t="s">
        <v>1297</v>
      </c>
    </row>
    <row r="321" spans="8:8">
      <c r="A321">
        <v>320.0</v>
      </c>
      <c r="B321" t="s">
        <v>42</v>
      </c>
      <c r="C321" t="s">
        <v>1298</v>
      </c>
      <c r="D321" t="s">
        <v>1299</v>
      </c>
    </row>
    <row r="322" spans="8:8">
      <c r="A322">
        <v>321.0</v>
      </c>
      <c r="B322" t="s">
        <v>42</v>
      </c>
      <c r="C322" t="s">
        <v>1300</v>
      </c>
      <c r="D322" t="s">
        <v>1301</v>
      </c>
    </row>
    <row r="323" spans="8:8">
      <c r="A323">
        <v>322.0</v>
      </c>
      <c r="B323" t="s">
        <v>42</v>
      </c>
      <c r="C323" t="s">
        <v>1302</v>
      </c>
      <c r="D323" t="s">
        <v>1303</v>
      </c>
    </row>
    <row r="324" spans="8:8">
      <c r="A324">
        <v>323.0</v>
      </c>
      <c r="B324" t="s">
        <v>42</v>
      </c>
      <c r="C324" t="s">
        <v>1304</v>
      </c>
      <c r="D324" t="s">
        <v>1305</v>
      </c>
    </row>
    <row r="325" spans="8:8">
      <c r="A325">
        <v>324.0</v>
      </c>
      <c r="B325" t="s">
        <v>42</v>
      </c>
      <c r="C325" t="s">
        <v>1306</v>
      </c>
      <c r="D325" t="s">
        <v>1307</v>
      </c>
    </row>
    <row r="326" spans="8:8">
      <c r="A326">
        <v>325.0</v>
      </c>
      <c r="B326" t="s">
        <v>42</v>
      </c>
      <c r="C326" t="s">
        <v>1308</v>
      </c>
      <c r="D326" t="s">
        <v>1309</v>
      </c>
    </row>
    <row r="327" spans="8:8">
      <c r="A327">
        <v>326.0</v>
      </c>
      <c r="B327" t="s">
        <v>42</v>
      </c>
      <c r="C327" t="s">
        <v>1310</v>
      </c>
      <c r="D327" t="s">
        <v>1311</v>
      </c>
    </row>
    <row r="328" spans="8:8">
      <c r="A328">
        <v>327.0</v>
      </c>
      <c r="B328" t="s">
        <v>42</v>
      </c>
      <c r="C328" t="s">
        <v>1312</v>
      </c>
      <c r="D328" t="s">
        <v>1313</v>
      </c>
    </row>
    <row r="329" spans="8:8">
      <c r="A329">
        <v>328.0</v>
      </c>
      <c r="B329" t="s">
        <v>42</v>
      </c>
      <c r="C329" t="s">
        <v>1314</v>
      </c>
      <c r="D329" t="s">
        <v>1315</v>
      </c>
    </row>
    <row r="330" spans="8:8">
      <c r="A330">
        <v>329.0</v>
      </c>
      <c r="B330" t="s">
        <v>42</v>
      </c>
      <c r="C330" t="s">
        <v>1316</v>
      </c>
      <c r="D330" t="s">
        <v>1317</v>
      </c>
    </row>
    <row r="331" spans="8:8">
      <c r="A331">
        <v>330.0</v>
      </c>
      <c r="B331" t="s">
        <v>42</v>
      </c>
      <c r="C331" t="s">
        <v>1318</v>
      </c>
      <c r="D331" t="s">
        <v>1319</v>
      </c>
    </row>
    <row r="332" spans="8:8">
      <c r="A332">
        <v>331.0</v>
      </c>
      <c r="B332" t="s">
        <v>42</v>
      </c>
      <c r="C332" t="s">
        <v>1320</v>
      </c>
      <c r="D332" t="s">
        <v>1321</v>
      </c>
    </row>
    <row r="333" spans="8:8">
      <c r="A333">
        <v>332.0</v>
      </c>
      <c r="B333" t="s">
        <v>42</v>
      </c>
      <c r="C333" t="s">
        <v>1322</v>
      </c>
      <c r="D333" t="s">
        <v>1323</v>
      </c>
    </row>
    <row r="334" spans="8:8">
      <c r="A334">
        <v>333.0</v>
      </c>
      <c r="B334" t="s">
        <v>42</v>
      </c>
      <c r="C334" t="s">
        <v>1324</v>
      </c>
      <c r="D334" t="s">
        <v>1325</v>
      </c>
    </row>
    <row r="335" spans="8:8">
      <c r="A335">
        <v>334.0</v>
      </c>
      <c r="B335" t="s">
        <v>42</v>
      </c>
      <c r="C335" t="s">
        <v>1326</v>
      </c>
      <c r="D335" t="s">
        <v>1327</v>
      </c>
    </row>
    <row r="336" spans="8:8">
      <c r="A336">
        <v>335.0</v>
      </c>
      <c r="B336" t="s">
        <v>42</v>
      </c>
      <c r="C336" t="s">
        <v>1328</v>
      </c>
      <c r="D336" t="s">
        <v>1329</v>
      </c>
    </row>
    <row r="337" spans="8:8">
      <c r="A337">
        <v>336.0</v>
      </c>
      <c r="B337" t="s">
        <v>42</v>
      </c>
      <c r="C337" t="s">
        <v>1330</v>
      </c>
      <c r="D337" t="s">
        <v>1331</v>
      </c>
    </row>
    <row r="338" spans="8:8">
      <c r="A338">
        <v>337.0</v>
      </c>
      <c r="B338" t="s">
        <v>42</v>
      </c>
      <c r="C338" t="s">
        <v>1332</v>
      </c>
      <c r="D338" t="s">
        <v>1333</v>
      </c>
    </row>
    <row r="339" spans="8:8">
      <c r="A339">
        <v>338.0</v>
      </c>
      <c r="B339" t="s">
        <v>42</v>
      </c>
      <c r="C339" t="s">
        <v>1334</v>
      </c>
      <c r="D339" t="s">
        <v>1335</v>
      </c>
    </row>
    <row r="340" spans="8:8">
      <c r="A340">
        <v>339.0</v>
      </c>
      <c r="B340" t="s">
        <v>42</v>
      </c>
      <c r="C340" t="s">
        <v>1336</v>
      </c>
      <c r="D340" t="s">
        <v>1337</v>
      </c>
    </row>
    <row r="341" spans="8:8">
      <c r="A341">
        <v>340.0</v>
      </c>
      <c r="B341" t="s">
        <v>42</v>
      </c>
      <c r="C341" t="s">
        <v>1338</v>
      </c>
      <c r="D341" t="s">
        <v>1339</v>
      </c>
    </row>
    <row r="342" spans="8:8">
      <c r="A342">
        <v>341.0</v>
      </c>
      <c r="B342" t="s">
        <v>42</v>
      </c>
      <c r="C342" t="s">
        <v>1340</v>
      </c>
      <c r="D342" t="s">
        <v>1341</v>
      </c>
    </row>
    <row r="343" spans="8:8">
      <c r="A343">
        <v>342.0</v>
      </c>
      <c r="B343" t="s">
        <v>42</v>
      </c>
      <c r="C343" t="s">
        <v>1342</v>
      </c>
      <c r="D343" t="s">
        <v>1343</v>
      </c>
    </row>
    <row r="344" spans="8:8">
      <c r="A344">
        <v>343.0</v>
      </c>
      <c r="B344" t="s">
        <v>42</v>
      </c>
      <c r="C344" t="s">
        <v>1344</v>
      </c>
      <c r="D344" t="s">
        <v>1345</v>
      </c>
    </row>
    <row r="345" spans="8:8">
      <c r="A345">
        <v>344.0</v>
      </c>
      <c r="B345" t="s">
        <v>42</v>
      </c>
      <c r="C345" t="s">
        <v>1346</v>
      </c>
      <c r="D345" t="s">
        <v>1347</v>
      </c>
    </row>
    <row r="346" spans="8:8" ht="27.0">
      <c r="A346">
        <v>345.0</v>
      </c>
      <c r="B346" t="s">
        <v>42</v>
      </c>
      <c r="C346" t="s">
        <v>1348</v>
      </c>
      <c r="D346" s="3" t="s">
        <v>1349</v>
      </c>
    </row>
    <row r="347" spans="8:8">
      <c r="A347">
        <v>346.0</v>
      </c>
      <c r="B347" t="s">
        <v>42</v>
      </c>
      <c r="C347" t="s">
        <v>1350</v>
      </c>
      <c r="D347" t="s">
        <v>1351</v>
      </c>
    </row>
    <row r="348" spans="8:8">
      <c r="A348">
        <v>347.0</v>
      </c>
      <c r="B348" t="s">
        <v>42</v>
      </c>
      <c r="C348" t="s">
        <v>1352</v>
      </c>
      <c r="D348" t="s">
        <v>1353</v>
      </c>
    </row>
    <row r="349" spans="8:8">
      <c r="A349">
        <v>348.0</v>
      </c>
      <c r="B349" t="s">
        <v>42</v>
      </c>
      <c r="C349" t="s">
        <v>1354</v>
      </c>
      <c r="D349" t="s">
        <v>1355</v>
      </c>
    </row>
    <row r="350" spans="8:8">
      <c r="A350">
        <v>349.0</v>
      </c>
      <c r="B350" t="s">
        <v>42</v>
      </c>
      <c r="C350" t="s">
        <v>1356</v>
      </c>
      <c r="D350" t="s">
        <v>1357</v>
      </c>
    </row>
    <row r="351" spans="8:8">
      <c r="A351">
        <v>350.0</v>
      </c>
      <c r="B351" t="s">
        <v>42</v>
      </c>
      <c r="C351" t="s">
        <v>1358</v>
      </c>
      <c r="D351" t="s">
        <v>1359</v>
      </c>
    </row>
    <row r="352" spans="8:8">
      <c r="A352">
        <v>351.0</v>
      </c>
      <c r="B352" t="s">
        <v>42</v>
      </c>
      <c r="C352" t="s">
        <v>1360</v>
      </c>
      <c r="D352" t="s">
        <v>1361</v>
      </c>
    </row>
    <row r="353" spans="8:8">
      <c r="A353">
        <v>352.0</v>
      </c>
      <c r="B353" t="s">
        <v>42</v>
      </c>
      <c r="C353" t="s">
        <v>1362</v>
      </c>
      <c r="D353" t="s">
        <v>1363</v>
      </c>
    </row>
    <row r="354" spans="8:8">
      <c r="A354">
        <v>353.0</v>
      </c>
      <c r="B354" t="s">
        <v>42</v>
      </c>
      <c r="C354" t="s">
        <v>1364</v>
      </c>
      <c r="D354" t="s">
        <v>1365</v>
      </c>
    </row>
    <row r="355" spans="8:8">
      <c r="A355">
        <v>354.0</v>
      </c>
      <c r="B355" t="s">
        <v>42</v>
      </c>
      <c r="C355" t="s">
        <v>1366</v>
      </c>
      <c r="D355" t="s">
        <v>1367</v>
      </c>
    </row>
    <row r="356" spans="8:8" ht="13.5" customFormat="1">
      <c r="A356">
        <v>355.0</v>
      </c>
      <c r="B356" t="s">
        <v>33</v>
      </c>
      <c r="C356" t="s">
        <v>1368</v>
      </c>
      <c r="D356" t="s">
        <v>1369</v>
      </c>
    </row>
    <row r="357" spans="8:8">
      <c r="A357">
        <v>356.0</v>
      </c>
      <c r="B357" t="s">
        <v>33</v>
      </c>
      <c r="C357" t="s">
        <v>1370</v>
      </c>
      <c r="D357" t="s">
        <v>1371</v>
      </c>
    </row>
    <row r="358" spans="8:8" ht="13.5" customFormat="1">
      <c r="A358">
        <v>357.0</v>
      </c>
      <c r="B358" t="s">
        <v>30</v>
      </c>
      <c r="C358" t="s">
        <v>1372</v>
      </c>
      <c r="D358" t="s">
        <v>1373</v>
      </c>
    </row>
    <row r="359" spans="8:8" ht="13.5" customFormat="1">
      <c r="A359">
        <v>358.0</v>
      </c>
      <c r="B359" t="s">
        <v>39</v>
      </c>
      <c r="C359" t="s">
        <v>1374</v>
      </c>
      <c r="D359" t="s">
        <v>1375</v>
      </c>
    </row>
    <row r="360" spans="8:8" ht="13.5" customFormat="1">
      <c r="A360">
        <v>359.0</v>
      </c>
      <c r="B360" t="s">
        <v>39</v>
      </c>
      <c r="C360" t="s">
        <v>1376</v>
      </c>
      <c r="D360" s="1" t="s">
        <v>1377</v>
      </c>
    </row>
    <row r="361" spans="8:8" ht="13.5" customFormat="1">
      <c r="A361">
        <v>360.0</v>
      </c>
      <c r="B361" t="s">
        <v>39</v>
      </c>
      <c r="C361" t="s">
        <v>1378</v>
      </c>
      <c r="D361" t="s">
        <v>1379</v>
      </c>
    </row>
    <row r="362" spans="8:8" ht="13.5" customFormat="1">
      <c r="A362">
        <v>361.0</v>
      </c>
      <c r="B362" t="s">
        <v>39</v>
      </c>
      <c r="C362" t="s">
        <v>1380</v>
      </c>
      <c r="D362" s="1" t="s">
        <v>1381</v>
      </c>
    </row>
    <row r="363" spans="8:8" ht="13.5" customFormat="1">
      <c r="A363">
        <v>362.0</v>
      </c>
      <c r="B363" t="s">
        <v>39</v>
      </c>
      <c r="C363" t="s">
        <v>1382</v>
      </c>
      <c r="D363" t="s">
        <v>1383</v>
      </c>
    </row>
    <row r="364" spans="8:8">
      <c r="A364">
        <v>363.0</v>
      </c>
      <c r="B364" t="s">
        <v>39</v>
      </c>
      <c r="C364" t="s">
        <v>1384</v>
      </c>
      <c r="D364" t="s">
        <v>250</v>
      </c>
    </row>
    <row r="365" spans="8:8">
      <c r="A365">
        <v>364.0</v>
      </c>
      <c r="B365" t="s">
        <v>39</v>
      </c>
      <c r="C365" t="s">
        <v>251</v>
      </c>
      <c r="D365" t="s">
        <v>252</v>
      </c>
    </row>
    <row r="366" spans="8:8">
      <c r="A366">
        <v>365.0</v>
      </c>
      <c r="B366" t="s">
        <v>39</v>
      </c>
      <c r="C366" t="s">
        <v>253</v>
      </c>
      <c r="D366" t="s">
        <v>254</v>
      </c>
    </row>
    <row r="367" spans="8:8">
      <c r="A367">
        <v>366.0</v>
      </c>
      <c r="B367" t="s">
        <v>30</v>
      </c>
      <c r="C367" t="s">
        <v>1385</v>
      </c>
      <c r="D367" t="s">
        <v>1386</v>
      </c>
    </row>
    <row r="368" spans="8:8">
      <c r="A368">
        <v>367.0</v>
      </c>
      <c r="B368" t="s">
        <v>39</v>
      </c>
      <c r="C368" t="s">
        <v>1387</v>
      </c>
      <c r="D368" t="s">
        <v>1388</v>
      </c>
    </row>
    <row r="369" spans="8:8">
      <c r="A369">
        <v>368.0</v>
      </c>
      <c r="B369" t="s">
        <v>36</v>
      </c>
      <c r="C369" t="s">
        <v>1389</v>
      </c>
      <c r="E369" t="s">
        <v>54</v>
      </c>
    </row>
    <row r="370" spans="8:8">
      <c r="A370">
        <v>369.0</v>
      </c>
      <c r="B370" t="s">
        <v>36</v>
      </c>
      <c r="C370" t="s">
        <v>1390</v>
      </c>
      <c r="E370" t="s">
        <v>54</v>
      </c>
    </row>
    <row r="371" spans="8:8">
      <c r="A371">
        <v>370.0</v>
      </c>
      <c r="B371" t="s">
        <v>42</v>
      </c>
      <c r="C371" t="s">
        <v>1391</v>
      </c>
      <c r="E371" t="s">
        <v>54</v>
      </c>
    </row>
    <row r="372" spans="8:8">
      <c r="A372">
        <v>371.0</v>
      </c>
      <c r="B372" t="s">
        <v>42</v>
      </c>
      <c r="C372" t="s">
        <v>1392</v>
      </c>
      <c r="E372" t="s">
        <v>54</v>
      </c>
    </row>
    <row r="373" spans="8:8">
      <c r="A373">
        <v>372.0</v>
      </c>
      <c r="B373" t="s">
        <v>42</v>
      </c>
      <c r="C373" t="s">
        <v>1393</v>
      </c>
      <c r="E373" t="s">
        <v>54</v>
      </c>
    </row>
    <row r="374" spans="8:8">
      <c r="A374">
        <v>373.0</v>
      </c>
      <c r="B374" t="s">
        <v>39</v>
      </c>
      <c r="C374" t="s">
        <v>1394</v>
      </c>
      <c r="E374" t="s">
        <v>54</v>
      </c>
    </row>
    <row r="375" spans="8:8">
      <c r="A375">
        <v>374.0</v>
      </c>
      <c r="B375" t="s">
        <v>42</v>
      </c>
      <c r="C375" t="s">
        <v>1395</v>
      </c>
      <c r="E375" t="s">
        <v>54</v>
      </c>
    </row>
    <row r="376" spans="8:8">
      <c r="A376">
        <v>375.0</v>
      </c>
      <c r="B376" t="s">
        <v>36</v>
      </c>
      <c r="C376" t="s">
        <v>1396</v>
      </c>
      <c r="E376" t="s">
        <v>54</v>
      </c>
    </row>
    <row r="377" spans="8:8">
      <c r="A377">
        <v>376.0</v>
      </c>
      <c r="B377" t="s">
        <v>36</v>
      </c>
      <c r="C377" t="s">
        <v>139</v>
      </c>
      <c r="E377" t="s">
        <v>54</v>
      </c>
    </row>
    <row r="378" spans="8:8">
      <c r="A378">
        <v>377.0</v>
      </c>
      <c r="B378" t="s">
        <v>36</v>
      </c>
      <c r="C378" t="s">
        <v>1397</v>
      </c>
      <c r="E378" t="s">
        <v>54</v>
      </c>
    </row>
    <row r="379" spans="8:8">
      <c r="A379">
        <v>378.0</v>
      </c>
      <c r="B379" t="s">
        <v>42</v>
      </c>
      <c r="C379" t="s">
        <v>1398</v>
      </c>
      <c r="E379" t="s">
        <v>54</v>
      </c>
    </row>
    <row r="380" spans="8:8">
      <c r="A380">
        <v>379.0</v>
      </c>
      <c r="B380" t="s">
        <v>36</v>
      </c>
      <c r="C380" t="s">
        <v>1399</v>
      </c>
      <c r="E380" t="s">
        <v>54</v>
      </c>
    </row>
    <row r="381" spans="8:8">
      <c r="A381">
        <v>380.0</v>
      </c>
      <c r="B381" t="s">
        <v>36</v>
      </c>
      <c r="C381" t="s">
        <v>1400</v>
      </c>
      <c r="E381" t="s">
        <v>54</v>
      </c>
    </row>
    <row r="382" spans="8:8">
      <c r="A382">
        <v>381.0</v>
      </c>
      <c r="B382" t="s">
        <v>39</v>
      </c>
      <c r="C382" t="s">
        <v>1401</v>
      </c>
      <c r="E382" t="s">
        <v>54</v>
      </c>
    </row>
    <row r="383" spans="8:8">
      <c r="A383">
        <v>382.0</v>
      </c>
      <c r="B383" t="s">
        <v>39</v>
      </c>
      <c r="C383" t="s">
        <v>1402</v>
      </c>
      <c r="E383" t="s">
        <v>54</v>
      </c>
    </row>
    <row r="384" spans="8:8">
      <c r="A384">
        <v>383.0</v>
      </c>
      <c r="B384" t="s">
        <v>42</v>
      </c>
      <c r="C384" t="s">
        <v>1403</v>
      </c>
      <c r="E384" t="s">
        <v>54</v>
      </c>
    </row>
    <row r="385" spans="8:8">
      <c r="A385">
        <v>384.0</v>
      </c>
      <c r="B385" t="s">
        <v>42</v>
      </c>
      <c r="C385" t="s">
        <v>1404</v>
      </c>
      <c r="E385" t="s">
        <v>54</v>
      </c>
    </row>
    <row r="386" spans="8:8">
      <c r="A386">
        <v>385.0</v>
      </c>
      <c r="B386" t="s">
        <v>42</v>
      </c>
      <c r="C386" t="s">
        <v>1405</v>
      </c>
      <c r="E386" t="s">
        <v>54</v>
      </c>
    </row>
    <row r="387" spans="8:8">
      <c r="A387">
        <v>386.0</v>
      </c>
      <c r="B387" t="s">
        <v>42</v>
      </c>
      <c r="C387" t="s">
        <v>1406</v>
      </c>
      <c r="E387" t="s">
        <v>54</v>
      </c>
    </row>
    <row r="388" spans="8:8">
      <c r="A388">
        <v>387.0</v>
      </c>
      <c r="B388" t="s">
        <v>42</v>
      </c>
      <c r="C388" t="s">
        <v>1407</v>
      </c>
      <c r="E388" t="s">
        <v>54</v>
      </c>
    </row>
    <row r="389" spans="8:8">
      <c r="A389">
        <v>388.0</v>
      </c>
      <c r="B389" t="s">
        <v>39</v>
      </c>
      <c r="C389" t="s">
        <v>1408</v>
      </c>
      <c r="E389" t="s">
        <v>54</v>
      </c>
    </row>
    <row r="390" spans="8:8">
      <c r="A390">
        <v>389.0</v>
      </c>
      <c r="B390" t="s">
        <v>39</v>
      </c>
      <c r="C390" t="s">
        <v>1409</v>
      </c>
      <c r="E390" t="s">
        <v>54</v>
      </c>
    </row>
    <row r="391" spans="8:8">
      <c r="A391">
        <v>390.0</v>
      </c>
      <c r="B391" t="s">
        <v>42</v>
      </c>
      <c r="C391" t="s">
        <v>1410</v>
      </c>
      <c r="E391" t="s">
        <v>54</v>
      </c>
    </row>
    <row r="392" spans="8:8">
      <c r="A392">
        <v>391.0</v>
      </c>
      <c r="B392" t="s">
        <v>42</v>
      </c>
      <c r="C392" t="s">
        <v>1411</v>
      </c>
      <c r="E392" t="s">
        <v>54</v>
      </c>
    </row>
    <row r="393" spans="8:8">
      <c r="A393">
        <v>392.0</v>
      </c>
      <c r="B393" t="s">
        <v>33</v>
      </c>
      <c r="C393" t="s">
        <v>1412</v>
      </c>
      <c r="E393" t="s">
        <v>54</v>
      </c>
    </row>
    <row r="394" spans="8:8">
      <c r="A394">
        <v>393.0</v>
      </c>
      <c r="B394" t="s">
        <v>42</v>
      </c>
      <c r="C394" t="s">
        <v>1413</v>
      </c>
      <c r="E394" t="s">
        <v>54</v>
      </c>
    </row>
    <row r="395" spans="8:8">
      <c r="A395">
        <v>394.0</v>
      </c>
      <c r="B395" t="s">
        <v>42</v>
      </c>
      <c r="C395" t="s">
        <v>1414</v>
      </c>
      <c r="E395" t="s">
        <v>54</v>
      </c>
    </row>
    <row r="396" spans="8:8">
      <c r="A396">
        <v>395.0</v>
      </c>
      <c r="B396" t="s">
        <v>39</v>
      </c>
      <c r="C396" t="s">
        <v>1415</v>
      </c>
      <c r="E396" t="s">
        <v>54</v>
      </c>
    </row>
    <row r="397" spans="8:8">
      <c r="A397">
        <v>396.0</v>
      </c>
      <c r="B397" t="s">
        <v>42</v>
      </c>
      <c r="C397" t="s">
        <v>1416</v>
      </c>
      <c r="E397" t="s">
        <v>54</v>
      </c>
    </row>
    <row r="398" spans="8:8">
      <c r="A398">
        <v>397.0</v>
      </c>
      <c r="B398" t="s">
        <v>42</v>
      </c>
      <c r="C398" t="s">
        <v>1417</v>
      </c>
      <c r="E398" t="s">
        <v>54</v>
      </c>
    </row>
    <row r="399" spans="8:8">
      <c r="A399">
        <v>398.0</v>
      </c>
      <c r="B399" t="s">
        <v>42</v>
      </c>
      <c r="C399" t="s">
        <v>1418</v>
      </c>
      <c r="E399" t="s">
        <v>54</v>
      </c>
    </row>
    <row r="400" spans="8:8">
      <c r="A400">
        <v>399.0</v>
      </c>
      <c r="B400" t="s">
        <v>42</v>
      </c>
      <c r="C400" t="s">
        <v>1419</v>
      </c>
      <c r="E400" t="s">
        <v>54</v>
      </c>
    </row>
    <row r="401" spans="8:8">
      <c r="A401">
        <v>400.0</v>
      </c>
      <c r="B401" t="s">
        <v>39</v>
      </c>
      <c r="C401" t="s">
        <v>1420</v>
      </c>
      <c r="E401" t="s">
        <v>54</v>
      </c>
    </row>
    <row r="402" spans="8:8">
      <c r="A402">
        <v>401.0</v>
      </c>
      <c r="B402" t="s">
        <v>39</v>
      </c>
      <c r="C402" t="s">
        <v>1421</v>
      </c>
      <c r="E402" t="s">
        <v>54</v>
      </c>
    </row>
    <row r="403" spans="8:8">
      <c r="A403">
        <v>402.0</v>
      </c>
      <c r="B403" t="s">
        <v>42</v>
      </c>
      <c r="C403" t="s">
        <v>1422</v>
      </c>
      <c r="E403" t="s">
        <v>54</v>
      </c>
    </row>
    <row r="404" spans="8:8">
      <c r="A404">
        <v>403.0</v>
      </c>
      <c r="B404" t="s">
        <v>39</v>
      </c>
      <c r="C404" t="s">
        <v>1423</v>
      </c>
      <c r="E404" t="s">
        <v>54</v>
      </c>
    </row>
    <row r="405" spans="8:8">
      <c r="A405">
        <v>404.0</v>
      </c>
      <c r="B405" t="s">
        <v>42</v>
      </c>
      <c r="C405" t="s">
        <v>1424</v>
      </c>
      <c r="E405" t="s">
        <v>54</v>
      </c>
    </row>
    <row r="406" spans="8:8">
      <c r="A406">
        <v>405.0</v>
      </c>
      <c r="B406" t="s">
        <v>42</v>
      </c>
      <c r="C406" t="s">
        <v>1425</v>
      </c>
      <c r="E406" t="s">
        <v>54</v>
      </c>
    </row>
    <row r="407" spans="8:8">
      <c r="A407">
        <v>406.0</v>
      </c>
      <c r="B407" t="s">
        <v>42</v>
      </c>
      <c r="C407" t="s">
        <v>1426</v>
      </c>
      <c r="E407" t="s">
        <v>54</v>
      </c>
    </row>
    <row r="408" spans="8:8">
      <c r="A408">
        <v>407.0</v>
      </c>
      <c r="B408" t="s">
        <v>39</v>
      </c>
      <c r="C408" t="s">
        <v>217</v>
      </c>
      <c r="E408" t="s">
        <v>54</v>
      </c>
    </row>
    <row r="409" spans="8:8">
      <c r="A409">
        <v>408.0</v>
      </c>
      <c r="B409" t="s">
        <v>33</v>
      </c>
      <c r="C409" t="s">
        <v>1427</v>
      </c>
      <c r="E409" t="s">
        <v>54</v>
      </c>
    </row>
    <row r="410" spans="8:8">
      <c r="A410">
        <v>409.0</v>
      </c>
      <c r="B410" t="s">
        <v>39</v>
      </c>
      <c r="C410" t="s">
        <v>1428</v>
      </c>
      <c r="E410" t="s">
        <v>54</v>
      </c>
    </row>
    <row r="411" spans="8:8">
      <c r="A411">
        <v>410.0</v>
      </c>
      <c r="B411" t="s">
        <v>39</v>
      </c>
      <c r="C411" t="s">
        <v>1429</v>
      </c>
      <c r="E411" t="s">
        <v>54</v>
      </c>
    </row>
    <row r="412" spans="8:8">
      <c r="A412">
        <v>411.0</v>
      </c>
      <c r="B412" t="s">
        <v>39</v>
      </c>
      <c r="C412" t="s">
        <v>1430</v>
      </c>
      <c r="E412" t="s">
        <v>54</v>
      </c>
    </row>
    <row r="413" spans="8:8">
      <c r="A413">
        <v>412.0</v>
      </c>
      <c r="B413" t="s">
        <v>42</v>
      </c>
      <c r="C413" t="s">
        <v>1431</v>
      </c>
      <c r="E413" t="s">
        <v>54</v>
      </c>
    </row>
    <row r="414" spans="8:8">
      <c r="A414">
        <v>413.0</v>
      </c>
      <c r="B414" t="s">
        <v>42</v>
      </c>
      <c r="C414" t="s">
        <v>1432</v>
      </c>
      <c r="E414" t="s">
        <v>54</v>
      </c>
    </row>
    <row r="415" spans="8:8">
      <c r="A415">
        <v>414.0</v>
      </c>
      <c r="B415" t="s">
        <v>39</v>
      </c>
      <c r="C415" t="s">
        <v>1433</v>
      </c>
      <c r="E415" t="s">
        <v>54</v>
      </c>
    </row>
    <row r="416" spans="8:8">
      <c r="A416">
        <v>415.0</v>
      </c>
      <c r="B416" t="s">
        <v>39</v>
      </c>
      <c r="C416" t="s">
        <v>1434</v>
      </c>
      <c r="E416" t="s">
        <v>54</v>
      </c>
    </row>
    <row r="417" spans="8:8">
      <c r="A417">
        <v>416.0</v>
      </c>
      <c r="B417" t="s">
        <v>39</v>
      </c>
      <c r="C417" t="s">
        <v>182</v>
      </c>
      <c r="E417" t="s">
        <v>54</v>
      </c>
    </row>
    <row r="418" spans="8:8">
      <c r="A418">
        <v>417.0</v>
      </c>
      <c r="B418" t="s">
        <v>42</v>
      </c>
      <c r="C418" t="s">
        <v>201</v>
      </c>
      <c r="E418" t="s">
        <v>54</v>
      </c>
    </row>
    <row r="419" spans="8:8">
      <c r="A419">
        <v>418.0</v>
      </c>
      <c r="B419" t="s">
        <v>39</v>
      </c>
      <c r="C419" t="s">
        <v>1435</v>
      </c>
      <c r="E419" t="s">
        <v>54</v>
      </c>
    </row>
    <row r="420" spans="8:8">
      <c r="A420">
        <v>419.0</v>
      </c>
      <c r="B420" t="s">
        <v>42</v>
      </c>
      <c r="C420" t="s">
        <v>1436</v>
      </c>
      <c r="E420" t="s">
        <v>54</v>
      </c>
    </row>
    <row r="421" spans="8:8">
      <c r="A421">
        <v>420.0</v>
      </c>
      <c r="B421" t="s">
        <v>39</v>
      </c>
      <c r="C421" t="s">
        <v>1437</v>
      </c>
      <c r="E421" t="s">
        <v>54</v>
      </c>
    </row>
    <row r="422" spans="8:8">
      <c r="A422">
        <v>421.0</v>
      </c>
      <c r="B422" t="s">
        <v>42</v>
      </c>
      <c r="C422" t="s">
        <v>1438</v>
      </c>
      <c r="E422" t="s">
        <v>54</v>
      </c>
    </row>
    <row r="423" spans="8:8">
      <c r="A423">
        <v>422.0</v>
      </c>
      <c r="B423" t="s">
        <v>42</v>
      </c>
      <c r="C423" t="s">
        <v>1439</v>
      </c>
      <c r="E423" t="s">
        <v>54</v>
      </c>
    </row>
    <row r="424" spans="8:8">
      <c r="A424">
        <v>423.0</v>
      </c>
      <c r="B424" t="s">
        <v>42</v>
      </c>
      <c r="C424" t="s">
        <v>1440</v>
      </c>
      <c r="E424" t="s">
        <v>54</v>
      </c>
    </row>
    <row r="425" spans="8:8">
      <c r="A425">
        <v>424.0</v>
      </c>
      <c r="B425" t="s">
        <v>42</v>
      </c>
      <c r="C425" t="s">
        <v>1441</v>
      </c>
      <c r="E425" t="s">
        <v>54</v>
      </c>
    </row>
    <row r="426" spans="8:8">
      <c r="A426">
        <v>425.0</v>
      </c>
      <c r="B426" t="s">
        <v>42</v>
      </c>
      <c r="C426" t="s">
        <v>1442</v>
      </c>
      <c r="E426" t="s">
        <v>54</v>
      </c>
    </row>
    <row r="427" spans="8:8">
      <c r="A427">
        <v>426.0</v>
      </c>
      <c r="B427" t="s">
        <v>42</v>
      </c>
      <c r="C427" t="s">
        <v>1443</v>
      </c>
      <c r="E427" t="s">
        <v>54</v>
      </c>
    </row>
    <row r="428" spans="8:8">
      <c r="A428">
        <v>427.0</v>
      </c>
      <c r="B428" t="s">
        <v>42</v>
      </c>
      <c r="C428" t="s">
        <v>1444</v>
      </c>
      <c r="E428" t="s">
        <v>54</v>
      </c>
    </row>
    <row r="429" spans="8:8">
      <c r="A429">
        <v>428.0</v>
      </c>
      <c r="B429" t="s">
        <v>39</v>
      </c>
      <c r="C429" t="s">
        <v>1445</v>
      </c>
      <c r="E429" t="s">
        <v>54</v>
      </c>
    </row>
    <row r="430" spans="8:8">
      <c r="A430">
        <v>429.0</v>
      </c>
      <c r="B430" t="s">
        <v>42</v>
      </c>
      <c r="C430" t="s">
        <v>1446</v>
      </c>
      <c r="E430" t="s">
        <v>54</v>
      </c>
    </row>
    <row r="431" spans="8:8">
      <c r="A431">
        <v>430.0</v>
      </c>
      <c r="B431" t="s">
        <v>42</v>
      </c>
      <c r="C431" t="s">
        <v>1447</v>
      </c>
      <c r="E431" t="s">
        <v>54</v>
      </c>
    </row>
    <row r="432" spans="8:8">
      <c r="A432">
        <v>431.0</v>
      </c>
      <c r="B432" t="s">
        <v>36</v>
      </c>
      <c r="C432" t="s">
        <v>1448</v>
      </c>
      <c r="E432" t="s">
        <v>54</v>
      </c>
    </row>
    <row r="433" spans="8:8">
      <c r="A433">
        <v>432.0</v>
      </c>
      <c r="B433" t="s">
        <v>42</v>
      </c>
      <c r="C433" t="s">
        <v>1449</v>
      </c>
      <c r="E433" t="s">
        <v>54</v>
      </c>
    </row>
    <row r="434" spans="8:8">
      <c r="A434">
        <v>433.0</v>
      </c>
      <c r="B434" t="s">
        <v>33</v>
      </c>
      <c r="C434" t="s">
        <v>1450</v>
      </c>
      <c r="E434" t="s">
        <v>54</v>
      </c>
    </row>
    <row r="435" spans="8:8">
      <c r="A435">
        <v>434.0</v>
      </c>
      <c r="B435" t="s">
        <v>42</v>
      </c>
      <c r="C435" t="s">
        <v>1451</v>
      </c>
      <c r="E435" t="s">
        <v>54</v>
      </c>
    </row>
    <row r="436" spans="8:8">
      <c r="A436">
        <v>435.0</v>
      </c>
      <c r="B436" t="s">
        <v>33</v>
      </c>
      <c r="C436" t="s">
        <v>1452</v>
      </c>
      <c r="E436" t="s">
        <v>54</v>
      </c>
    </row>
    <row r="437" spans="8:8">
      <c r="A437">
        <v>436.0</v>
      </c>
      <c r="B437" t="s">
        <v>39</v>
      </c>
      <c r="C437" t="s">
        <v>1453</v>
      </c>
      <c r="E437" t="s">
        <v>54</v>
      </c>
    </row>
    <row r="438" spans="8:8">
      <c r="A438">
        <v>437.0</v>
      </c>
      <c r="B438" t="s">
        <v>42</v>
      </c>
      <c r="C438" t="s">
        <v>1454</v>
      </c>
      <c r="E438" t="s">
        <v>54</v>
      </c>
    </row>
    <row r="439" spans="8:8">
      <c r="A439">
        <v>438.0</v>
      </c>
      <c r="B439" t="s">
        <v>42</v>
      </c>
      <c r="C439" t="s">
        <v>1455</v>
      </c>
      <c r="E439" t="s">
        <v>54</v>
      </c>
    </row>
    <row r="440" spans="8:8">
      <c r="A440">
        <v>439.0</v>
      </c>
      <c r="B440" t="s">
        <v>39</v>
      </c>
      <c r="C440" t="s">
        <v>1456</v>
      </c>
      <c r="E440" t="s">
        <v>54</v>
      </c>
    </row>
    <row r="441" spans="8:8">
      <c r="A441">
        <v>440.0</v>
      </c>
      <c r="B441" t="s">
        <v>42</v>
      </c>
      <c r="C441" t="s">
        <v>1457</v>
      </c>
      <c r="E441" t="s">
        <v>54</v>
      </c>
    </row>
    <row r="442" spans="8:8">
      <c r="A442">
        <v>441.0</v>
      </c>
      <c r="B442" t="s">
        <v>42</v>
      </c>
      <c r="C442" t="s">
        <v>1458</v>
      </c>
      <c r="E442" t="s">
        <v>54</v>
      </c>
    </row>
    <row r="443" spans="8:8">
      <c r="A443">
        <v>442.0</v>
      </c>
      <c r="B443" t="s">
        <v>39</v>
      </c>
      <c r="C443" t="s">
        <v>1459</v>
      </c>
      <c r="E443" t="s">
        <v>54</v>
      </c>
    </row>
    <row r="444" spans="8:8">
      <c r="A444">
        <v>443.0</v>
      </c>
      <c r="B444" t="s">
        <v>42</v>
      </c>
      <c r="C444" t="s">
        <v>1460</v>
      </c>
      <c r="E444" t="s">
        <v>54</v>
      </c>
    </row>
    <row r="445" spans="8:8">
      <c r="A445">
        <v>444.0</v>
      </c>
      <c r="B445" t="s">
        <v>39</v>
      </c>
      <c r="C445" t="s">
        <v>1461</v>
      </c>
      <c r="E445" t="s">
        <v>54</v>
      </c>
    </row>
    <row r="446" spans="8:8">
      <c r="A446">
        <v>445.0</v>
      </c>
      <c r="B446" t="s">
        <v>42</v>
      </c>
      <c r="C446" t="s">
        <v>1462</v>
      </c>
      <c r="E446" t="s">
        <v>54</v>
      </c>
    </row>
    <row r="447" spans="8:8">
      <c r="A447">
        <v>446.0</v>
      </c>
      <c r="B447" t="s">
        <v>39</v>
      </c>
      <c r="C447" t="s">
        <v>1463</v>
      </c>
      <c r="E447" t="s">
        <v>54</v>
      </c>
    </row>
    <row r="448" spans="8:8">
      <c r="A448">
        <v>447.0</v>
      </c>
      <c r="B448" t="s">
        <v>39</v>
      </c>
      <c r="C448" t="s">
        <v>1464</v>
      </c>
      <c r="E448" t="s">
        <v>54</v>
      </c>
    </row>
    <row r="449" spans="8:8">
      <c r="A449">
        <v>448.0</v>
      </c>
      <c r="B449" t="s">
        <v>42</v>
      </c>
      <c r="C449" t="s">
        <v>1465</v>
      </c>
      <c r="E449" t="s">
        <v>54</v>
      </c>
    </row>
    <row r="450" spans="8:8">
      <c r="A450">
        <v>449.0</v>
      </c>
      <c r="B450" t="s">
        <v>42</v>
      </c>
      <c r="C450" t="s">
        <v>1466</v>
      </c>
      <c r="E450" t="s">
        <v>54</v>
      </c>
    </row>
    <row r="451" spans="8:8">
      <c r="A451">
        <v>450.0</v>
      </c>
      <c r="B451" t="s">
        <v>42</v>
      </c>
      <c r="C451" t="s">
        <v>1467</v>
      </c>
      <c r="E451" t="s">
        <v>54</v>
      </c>
    </row>
    <row r="452" spans="8:8">
      <c r="A452">
        <v>451.0</v>
      </c>
      <c r="B452" t="s">
        <v>42</v>
      </c>
      <c r="C452" t="s">
        <v>1240</v>
      </c>
      <c r="E452" t="s">
        <v>54</v>
      </c>
    </row>
    <row r="453" spans="8:8">
      <c r="A453">
        <v>452.0</v>
      </c>
      <c r="B453" t="s">
        <v>42</v>
      </c>
      <c r="C453" t="s">
        <v>1468</v>
      </c>
      <c r="E453" t="s">
        <v>54</v>
      </c>
    </row>
    <row r="454" spans="8:8">
      <c r="A454">
        <v>453.0</v>
      </c>
      <c r="B454" t="s">
        <v>39</v>
      </c>
      <c r="C454" t="s">
        <v>1469</v>
      </c>
      <c r="E454" t="s">
        <v>54</v>
      </c>
    </row>
    <row r="455" spans="8:8">
      <c r="A455">
        <v>454.0</v>
      </c>
      <c r="B455" t="s">
        <v>42</v>
      </c>
      <c r="C455" t="s">
        <v>1289</v>
      </c>
      <c r="E455" t="s">
        <v>54</v>
      </c>
    </row>
    <row r="456" spans="8:8">
      <c r="A456">
        <v>455.0</v>
      </c>
      <c r="B456" t="s">
        <v>39</v>
      </c>
      <c r="C456" t="s">
        <v>1470</v>
      </c>
      <c r="E456" t="s">
        <v>54</v>
      </c>
    </row>
    <row r="457" spans="8:8">
      <c r="A457">
        <v>456.0</v>
      </c>
      <c r="B457" t="s">
        <v>42</v>
      </c>
      <c r="C457" t="s">
        <v>1471</v>
      </c>
      <c r="E457" t="s">
        <v>54</v>
      </c>
    </row>
    <row r="458" spans="8:8">
      <c r="A458">
        <v>457.0</v>
      </c>
      <c r="B458" t="s">
        <v>42</v>
      </c>
      <c r="C458" t="s">
        <v>1472</v>
      </c>
      <c r="E458" t="s">
        <v>54</v>
      </c>
    </row>
    <row r="459" spans="8:8">
      <c r="A459">
        <v>458.0</v>
      </c>
      <c r="B459" t="s">
        <v>42</v>
      </c>
      <c r="C459" t="s">
        <v>1473</v>
      </c>
      <c r="E459" t="s">
        <v>54</v>
      </c>
    </row>
    <row r="460" spans="8:8">
      <c r="A460">
        <v>459.0</v>
      </c>
      <c r="B460" t="s">
        <v>39</v>
      </c>
      <c r="C460" t="s">
        <v>1474</v>
      </c>
      <c r="E460" t="s">
        <v>54</v>
      </c>
    </row>
    <row r="461" spans="8:8">
      <c r="A461">
        <v>460.0</v>
      </c>
      <c r="B461" t="s">
        <v>39</v>
      </c>
      <c r="C461" t="s">
        <v>1475</v>
      </c>
      <c r="E461" t="s">
        <v>54</v>
      </c>
    </row>
    <row r="462" spans="8:8">
      <c r="A462">
        <v>461.0</v>
      </c>
      <c r="B462" t="s">
        <v>42</v>
      </c>
      <c r="C462" t="s">
        <v>1476</v>
      </c>
      <c r="E462" t="s">
        <v>54</v>
      </c>
    </row>
    <row r="463" spans="8:8">
      <c r="A463">
        <v>462.0</v>
      </c>
      <c r="B463" t="s">
        <v>42</v>
      </c>
      <c r="C463" t="s">
        <v>169</v>
      </c>
      <c r="E463" t="s">
        <v>54</v>
      </c>
    </row>
    <row r="464" spans="8:8">
      <c r="A464">
        <v>463.0</v>
      </c>
      <c r="B464" t="s">
        <v>42</v>
      </c>
      <c r="C464" t="s">
        <v>1477</v>
      </c>
      <c r="E464" t="s">
        <v>54</v>
      </c>
    </row>
    <row r="465" spans="8:8">
      <c r="A465">
        <v>464.0</v>
      </c>
      <c r="B465" t="s">
        <v>33</v>
      </c>
      <c r="C465" t="s">
        <v>1478</v>
      </c>
      <c r="E465" t="s">
        <v>54</v>
      </c>
    </row>
    <row r="466" spans="8:8">
      <c r="A466">
        <v>465.0</v>
      </c>
      <c r="B466" t="s">
        <v>42</v>
      </c>
      <c r="C466" t="s">
        <v>1479</v>
      </c>
      <c r="E466" t="s">
        <v>54</v>
      </c>
    </row>
    <row r="467" spans="8:8">
      <c r="A467">
        <v>466.0</v>
      </c>
      <c r="B467" t="s">
        <v>39</v>
      </c>
      <c r="C467" t="s">
        <v>1480</v>
      </c>
      <c r="E467" t="s">
        <v>54</v>
      </c>
    </row>
    <row r="468" spans="8:8">
      <c r="A468">
        <v>467.0</v>
      </c>
      <c r="B468" t="s">
        <v>42</v>
      </c>
      <c r="C468" t="s">
        <v>1481</v>
      </c>
      <c r="E468" t="s">
        <v>54</v>
      </c>
    </row>
    <row r="469" spans="8:8">
      <c r="A469">
        <v>468.0</v>
      </c>
      <c r="B469" t="s">
        <v>33</v>
      </c>
      <c r="C469" t="s">
        <v>1482</v>
      </c>
      <c r="E469" t="s">
        <v>54</v>
      </c>
    </row>
    <row r="470" spans="8:8">
      <c r="A470">
        <v>469.0</v>
      </c>
      <c r="B470" t="s">
        <v>42</v>
      </c>
      <c r="C470" t="s">
        <v>1483</v>
      </c>
      <c r="E470" t="s">
        <v>54</v>
      </c>
    </row>
    <row r="471" spans="8:8">
      <c r="A471">
        <v>470.0</v>
      </c>
      <c r="B471" t="s">
        <v>42</v>
      </c>
      <c r="C471" t="s">
        <v>1484</v>
      </c>
      <c r="E471" t="s">
        <v>54</v>
      </c>
    </row>
    <row r="472" spans="8:8">
      <c r="A472">
        <v>471.0</v>
      </c>
      <c r="B472" t="s">
        <v>39</v>
      </c>
      <c r="C472" t="s">
        <v>1485</v>
      </c>
      <c r="E472" t="s">
        <v>54</v>
      </c>
    </row>
    <row r="473" spans="8:8">
      <c r="A473">
        <v>472.0</v>
      </c>
      <c r="B473" t="s">
        <v>42</v>
      </c>
      <c r="C473" t="s">
        <v>1486</v>
      </c>
      <c r="E473" t="s">
        <v>54</v>
      </c>
    </row>
    <row r="474" spans="8:8">
      <c r="A474">
        <v>473.0</v>
      </c>
      <c r="B474" t="s">
        <v>39</v>
      </c>
      <c r="C474" t="s">
        <v>1254</v>
      </c>
      <c r="E474" t="s">
        <v>54</v>
      </c>
    </row>
    <row r="475" spans="8:8">
      <c r="A475">
        <v>474.0</v>
      </c>
      <c r="B475" t="s">
        <v>42</v>
      </c>
      <c r="C475" t="s">
        <v>1487</v>
      </c>
      <c r="E475" t="s">
        <v>54</v>
      </c>
    </row>
    <row r="476" spans="8:8">
      <c r="A476">
        <v>475.0</v>
      </c>
      <c r="B476" t="s">
        <v>30</v>
      </c>
      <c r="C476" t="s">
        <v>1488</v>
      </c>
      <c r="E476" t="s">
        <v>54</v>
      </c>
    </row>
    <row r="477" spans="8:8">
      <c r="A477">
        <v>476.0</v>
      </c>
      <c r="B477" t="s">
        <v>30</v>
      </c>
      <c r="C477" t="s">
        <v>1489</v>
      </c>
      <c r="E477" t="s">
        <v>54</v>
      </c>
    </row>
    <row r="478" spans="8:8">
      <c r="A478">
        <v>477.0</v>
      </c>
      <c r="B478" t="s">
        <v>42</v>
      </c>
      <c r="C478" t="s">
        <v>1490</v>
      </c>
      <c r="E478" t="s">
        <v>54</v>
      </c>
    </row>
    <row r="479" spans="8:8">
      <c r="A479">
        <v>478.0</v>
      </c>
      <c r="B479" t="s">
        <v>42</v>
      </c>
      <c r="C479" t="s">
        <v>1491</v>
      </c>
      <c r="E479" t="s">
        <v>54</v>
      </c>
    </row>
    <row r="480" spans="8:8">
      <c r="A480">
        <v>479.0</v>
      </c>
      <c r="B480" t="s">
        <v>42</v>
      </c>
      <c r="C480" t="s">
        <v>1492</v>
      </c>
      <c r="E480" t="s">
        <v>54</v>
      </c>
    </row>
    <row r="481" spans="8:8">
      <c r="A481">
        <v>480.0</v>
      </c>
      <c r="B481" t="s">
        <v>42</v>
      </c>
      <c r="C481" t="s">
        <v>1493</v>
      </c>
      <c r="E481" t="s">
        <v>54</v>
      </c>
    </row>
    <row r="482" spans="8:8">
      <c r="A482">
        <v>481.0</v>
      </c>
      <c r="B482" t="s">
        <v>39</v>
      </c>
      <c r="C482" t="s">
        <v>1494</v>
      </c>
      <c r="E482" t="s">
        <v>54</v>
      </c>
    </row>
    <row r="483" spans="8:8">
      <c r="A483">
        <v>482.0</v>
      </c>
      <c r="B483" t="s">
        <v>42</v>
      </c>
      <c r="C483" t="s">
        <v>1495</v>
      </c>
      <c r="E483" t="s">
        <v>54</v>
      </c>
    </row>
    <row r="484" spans="8:8">
      <c r="A484">
        <v>483.0</v>
      </c>
      <c r="B484" t="s">
        <v>42</v>
      </c>
      <c r="C484" t="s">
        <v>1496</v>
      </c>
      <c r="E484" t="s">
        <v>54</v>
      </c>
    </row>
    <row r="485" spans="8:8">
      <c r="A485">
        <v>484.0</v>
      </c>
      <c r="B485" t="s">
        <v>42</v>
      </c>
      <c r="C485" t="s">
        <v>1497</v>
      </c>
      <c r="E485" t="s">
        <v>54</v>
      </c>
    </row>
    <row r="486" spans="8:8">
      <c r="A486">
        <v>485.0</v>
      </c>
      <c r="B486" t="s">
        <v>39</v>
      </c>
      <c r="C486" t="s">
        <v>1498</v>
      </c>
      <c r="E486" t="s">
        <v>54</v>
      </c>
    </row>
    <row r="487" spans="8:8">
      <c r="A487">
        <v>486.0</v>
      </c>
      <c r="B487" t="s">
        <v>33</v>
      </c>
      <c r="C487" t="s">
        <v>1499</v>
      </c>
      <c r="E487" t="s">
        <v>54</v>
      </c>
    </row>
    <row r="488" spans="8:8">
      <c r="A488">
        <v>487.0</v>
      </c>
      <c r="B488" t="s">
        <v>30</v>
      </c>
      <c r="C488" t="s">
        <v>1500</v>
      </c>
      <c r="E488" t="s">
        <v>54</v>
      </c>
    </row>
    <row r="489" spans="8:8">
      <c r="A489">
        <v>488.0</v>
      </c>
      <c r="B489" t="s">
        <v>30</v>
      </c>
      <c r="C489" t="s">
        <v>1501</v>
      </c>
      <c r="E489" t="s">
        <v>54</v>
      </c>
    </row>
    <row r="490" spans="8:8">
      <c r="A490">
        <v>489.0</v>
      </c>
      <c r="B490" t="s">
        <v>39</v>
      </c>
      <c r="C490" t="s">
        <v>1502</v>
      </c>
      <c r="E490" t="s">
        <v>54</v>
      </c>
    </row>
    <row r="491" spans="8:8">
      <c r="A491">
        <v>490.0</v>
      </c>
      <c r="B491" t="s">
        <v>30</v>
      </c>
      <c r="C491" t="s">
        <v>1503</v>
      </c>
      <c r="E491" t="s">
        <v>54</v>
      </c>
    </row>
    <row r="492" spans="8:8">
      <c r="A492">
        <v>491.0</v>
      </c>
      <c r="B492" t="s">
        <v>30</v>
      </c>
      <c r="C492" t="s">
        <v>517</v>
      </c>
      <c r="E492" t="s">
        <v>54</v>
      </c>
    </row>
    <row r="493" spans="8:8">
      <c r="A493">
        <v>492.0</v>
      </c>
      <c r="B493" t="s">
        <v>36</v>
      </c>
      <c r="C493" t="s">
        <v>1504</v>
      </c>
      <c r="E493" t="s">
        <v>54</v>
      </c>
    </row>
    <row r="494" spans="8:8">
      <c r="A494">
        <v>493.0</v>
      </c>
      <c r="B494" t="s">
        <v>39</v>
      </c>
      <c r="C494" t="s">
        <v>1505</v>
      </c>
      <c r="E494" t="s">
        <v>54</v>
      </c>
    </row>
    <row r="495" spans="8:8">
      <c r="A495">
        <v>494.0</v>
      </c>
      <c r="B495" t="s">
        <v>30</v>
      </c>
      <c r="C495" t="s">
        <v>218</v>
      </c>
      <c r="E495" t="s">
        <v>54</v>
      </c>
    </row>
    <row r="496" spans="8:8">
      <c r="A496">
        <v>495.0</v>
      </c>
      <c r="B496" t="s">
        <v>39</v>
      </c>
      <c r="C496" t="s">
        <v>1506</v>
      </c>
      <c r="E496" t="s">
        <v>54</v>
      </c>
    </row>
    <row r="497" spans="8:8">
      <c r="A497">
        <v>496.0</v>
      </c>
      <c r="B497" t="s">
        <v>42</v>
      </c>
      <c r="C497" t="s">
        <v>1507</v>
      </c>
      <c r="E497" t="s">
        <v>54</v>
      </c>
    </row>
    <row r="498" spans="8:8">
      <c r="A498">
        <v>497.0</v>
      </c>
      <c r="B498" t="s">
        <v>30</v>
      </c>
      <c r="C498" t="s">
        <v>1508</v>
      </c>
      <c r="E498" t="s">
        <v>54</v>
      </c>
    </row>
    <row r="499" spans="8:8">
      <c r="A499">
        <v>498.0</v>
      </c>
      <c r="B499" t="s">
        <v>42</v>
      </c>
      <c r="C499" t="s">
        <v>1509</v>
      </c>
      <c r="E499" t="s">
        <v>54</v>
      </c>
    </row>
    <row r="500" spans="8:8">
      <c r="A500">
        <v>499.0</v>
      </c>
      <c r="B500" t="s">
        <v>33</v>
      </c>
      <c r="C500" t="s">
        <v>1510</v>
      </c>
      <c r="E500" t="s">
        <v>54</v>
      </c>
    </row>
    <row r="501" spans="8:8">
      <c r="A501">
        <v>500.0</v>
      </c>
      <c r="B501" t="s">
        <v>42</v>
      </c>
      <c r="C501" t="s">
        <v>1511</v>
      </c>
      <c r="E501" t="s">
        <v>54</v>
      </c>
    </row>
    <row r="502" spans="8:8">
      <c r="A502">
        <v>501.0</v>
      </c>
      <c r="B502" t="s">
        <v>39</v>
      </c>
      <c r="C502" t="s">
        <v>1512</v>
      </c>
      <c r="E502" t="s">
        <v>54</v>
      </c>
    </row>
    <row r="503" spans="8:8">
      <c r="A503">
        <v>502.0</v>
      </c>
      <c r="B503" t="s">
        <v>42</v>
      </c>
      <c r="C503" t="s">
        <v>1513</v>
      </c>
      <c r="E503" t="s">
        <v>54</v>
      </c>
    </row>
    <row r="504" spans="8:8">
      <c r="A504">
        <v>503.0</v>
      </c>
      <c r="B504" t="s">
        <v>42</v>
      </c>
      <c r="C504" t="s">
        <v>1514</v>
      </c>
      <c r="E504" t="s">
        <v>54</v>
      </c>
    </row>
    <row r="505" spans="8:8">
      <c r="A505">
        <v>504.0</v>
      </c>
      <c r="B505" t="s">
        <v>42</v>
      </c>
      <c r="C505" t="s">
        <v>1515</v>
      </c>
      <c r="E505" t="s">
        <v>54</v>
      </c>
    </row>
    <row r="506" spans="8:8">
      <c r="A506">
        <v>505.0</v>
      </c>
      <c r="B506" t="s">
        <v>30</v>
      </c>
      <c r="C506" t="s">
        <v>1516</v>
      </c>
      <c r="E506" t="s">
        <v>54</v>
      </c>
    </row>
    <row r="507" spans="8:8">
      <c r="A507">
        <v>506.0</v>
      </c>
      <c r="B507" t="s">
        <v>30</v>
      </c>
      <c r="C507" t="s">
        <v>1517</v>
      </c>
      <c r="E507" t="s">
        <v>54</v>
      </c>
    </row>
    <row r="508" spans="8:8">
      <c r="A508">
        <v>507.0</v>
      </c>
      <c r="B508" t="s">
        <v>30</v>
      </c>
      <c r="C508" t="s">
        <v>1518</v>
      </c>
      <c r="E508" t="s">
        <v>54</v>
      </c>
    </row>
    <row r="509" spans="8:8">
      <c r="A509">
        <v>508.0</v>
      </c>
      <c r="B509" t="s">
        <v>30</v>
      </c>
      <c r="C509" t="s">
        <v>1519</v>
      </c>
      <c r="E509" t="s">
        <v>54</v>
      </c>
    </row>
    <row r="510" spans="8:8">
      <c r="A510">
        <v>509.0</v>
      </c>
      <c r="B510" t="s">
        <v>30</v>
      </c>
      <c r="C510" t="s">
        <v>1520</v>
      </c>
      <c r="E510" t="s">
        <v>54</v>
      </c>
    </row>
    <row r="511" spans="8:8">
      <c r="A511">
        <v>510.0</v>
      </c>
      <c r="B511" t="s">
        <v>39</v>
      </c>
      <c r="C511" t="s">
        <v>1521</v>
      </c>
      <c r="E511" t="s">
        <v>54</v>
      </c>
    </row>
    <row r="512" spans="8:8">
      <c r="A512">
        <v>511.0</v>
      </c>
      <c r="B512" t="s">
        <v>42</v>
      </c>
      <c r="C512" t="s">
        <v>1522</v>
      </c>
      <c r="E512" t="s">
        <v>54</v>
      </c>
    </row>
    <row r="513" spans="8:8">
      <c r="A513">
        <v>512.0</v>
      </c>
      <c r="B513" t="s">
        <v>30</v>
      </c>
      <c r="C513" t="s">
        <v>1523</v>
      </c>
      <c r="E513" t="s">
        <v>54</v>
      </c>
    </row>
    <row r="514" spans="8:8">
      <c r="A514">
        <v>513.0</v>
      </c>
      <c r="B514" t="s">
        <v>33</v>
      </c>
      <c r="C514" t="s">
        <v>1524</v>
      </c>
      <c r="E514" t="s">
        <v>54</v>
      </c>
    </row>
    <row r="515" spans="8:8">
      <c r="A515">
        <v>514.0</v>
      </c>
      <c r="B515" t="s">
        <v>36</v>
      </c>
      <c r="C515" t="s">
        <v>1525</v>
      </c>
      <c r="E515" t="s">
        <v>54</v>
      </c>
    </row>
    <row r="516" spans="8:8">
      <c r="A516">
        <v>515.0</v>
      </c>
      <c r="B516" t="s">
        <v>39</v>
      </c>
      <c r="C516" t="s">
        <v>1526</v>
      </c>
      <c r="E516" t="s">
        <v>54</v>
      </c>
    </row>
    <row r="517" spans="8:8">
      <c r="A517">
        <v>516.0</v>
      </c>
      <c r="B517" t="s">
        <v>30</v>
      </c>
      <c r="C517" t="s">
        <v>533</v>
      </c>
      <c r="E517" t="s">
        <v>54</v>
      </c>
    </row>
    <row r="518" spans="8:8">
      <c r="A518">
        <v>517.0</v>
      </c>
      <c r="B518" t="s">
        <v>42</v>
      </c>
      <c r="C518" t="s">
        <v>1527</v>
      </c>
      <c r="E518" t="s">
        <v>54</v>
      </c>
    </row>
    <row r="519" spans="8:8">
      <c r="A519">
        <v>518.0</v>
      </c>
      <c r="B519" t="s">
        <v>30</v>
      </c>
      <c r="C519" t="s">
        <v>1528</v>
      </c>
      <c r="E519" t="s">
        <v>54</v>
      </c>
    </row>
    <row r="520" spans="8:8">
      <c r="A520">
        <v>519.0</v>
      </c>
      <c r="B520" t="s">
        <v>30</v>
      </c>
      <c r="C520" t="s">
        <v>1529</v>
      </c>
      <c r="E520" t="s">
        <v>54</v>
      </c>
    </row>
    <row r="521" spans="8:8">
      <c r="A521">
        <v>520.0</v>
      </c>
      <c r="B521" t="s">
        <v>33</v>
      </c>
      <c r="C521" t="s">
        <v>1530</v>
      </c>
      <c r="E521" t="s">
        <v>54</v>
      </c>
    </row>
    <row r="522" spans="8:8">
      <c r="A522">
        <v>521.0</v>
      </c>
      <c r="B522" t="s">
        <v>33</v>
      </c>
      <c r="C522" t="s">
        <v>1531</v>
      </c>
      <c r="E522" t="s">
        <v>54</v>
      </c>
    </row>
    <row r="523" spans="8:8">
      <c r="A523">
        <v>522.0</v>
      </c>
      <c r="B523" t="s">
        <v>39</v>
      </c>
      <c r="C523" t="s">
        <v>1532</v>
      </c>
      <c r="E523" t="s">
        <v>54</v>
      </c>
    </row>
    <row r="524" spans="8:8">
      <c r="A524">
        <v>523.0</v>
      </c>
      <c r="B524" t="s">
        <v>39</v>
      </c>
      <c r="C524" t="s">
        <v>1533</v>
      </c>
      <c r="E524" t="s">
        <v>54</v>
      </c>
    </row>
    <row r="525" spans="8:8">
      <c r="A525">
        <v>524.0</v>
      </c>
      <c r="B525" t="s">
        <v>33</v>
      </c>
      <c r="C525" t="s">
        <v>1534</v>
      </c>
      <c r="E525" t="s">
        <v>54</v>
      </c>
    </row>
    <row r="526" spans="8:8">
      <c r="A526">
        <v>525.0</v>
      </c>
      <c r="B526" t="s">
        <v>30</v>
      </c>
      <c r="C526" t="s">
        <v>1535</v>
      </c>
      <c r="E526" t="s">
        <v>54</v>
      </c>
    </row>
    <row r="527" spans="8:8">
      <c r="A527">
        <v>526.0</v>
      </c>
      <c r="B527" t="s">
        <v>30</v>
      </c>
      <c r="C527" t="s">
        <v>1536</v>
      </c>
      <c r="E527" t="s">
        <v>54</v>
      </c>
    </row>
    <row r="528" spans="8:8">
      <c r="A528">
        <v>527.0</v>
      </c>
      <c r="B528" t="s">
        <v>39</v>
      </c>
      <c r="C528" t="s">
        <v>1537</v>
      </c>
      <c r="E528" t="s">
        <v>54</v>
      </c>
    </row>
    <row r="529" spans="8:8">
      <c r="A529">
        <v>528.0</v>
      </c>
      <c r="B529" t="s">
        <v>30</v>
      </c>
      <c r="C529" t="s">
        <v>527</v>
      </c>
      <c r="E529" t="s">
        <v>54</v>
      </c>
    </row>
    <row r="530" spans="8:8">
      <c r="A530">
        <v>529.0</v>
      </c>
      <c r="B530" t="s">
        <v>30</v>
      </c>
      <c r="C530" t="s">
        <v>1538</v>
      </c>
      <c r="E530" t="s">
        <v>54</v>
      </c>
    </row>
    <row r="531" spans="8:8">
      <c r="A531">
        <v>530.0</v>
      </c>
      <c r="B531" t="s">
        <v>39</v>
      </c>
      <c r="C531" t="s">
        <v>1539</v>
      </c>
      <c r="E531" t="s">
        <v>54</v>
      </c>
    </row>
    <row r="532" spans="8:8">
      <c r="A532">
        <v>531.0</v>
      </c>
      <c r="B532" t="s">
        <v>33</v>
      </c>
      <c r="C532" t="s">
        <v>109</v>
      </c>
      <c r="E532" t="s">
        <v>54</v>
      </c>
    </row>
    <row r="533" spans="8:8">
      <c r="A533">
        <v>532.0</v>
      </c>
      <c r="B533" t="s">
        <v>42</v>
      </c>
      <c r="C533" t="s">
        <v>1540</v>
      </c>
      <c r="E533" t="s">
        <v>54</v>
      </c>
    </row>
    <row r="534" spans="8:8">
      <c r="A534">
        <v>533.0</v>
      </c>
      <c r="B534" t="s">
        <v>39</v>
      </c>
      <c r="C534" t="s">
        <v>1541</v>
      </c>
      <c r="E534" t="s">
        <v>54</v>
      </c>
    </row>
    <row r="535" spans="8:8">
      <c r="A535">
        <v>534.0</v>
      </c>
      <c r="B535" t="s">
        <v>33</v>
      </c>
      <c r="C535" t="s">
        <v>1542</v>
      </c>
      <c r="E535" t="s">
        <v>54</v>
      </c>
    </row>
    <row r="536" spans="8:8">
      <c r="A536">
        <v>535.0</v>
      </c>
      <c r="B536" t="s">
        <v>30</v>
      </c>
      <c r="C536" t="s">
        <v>376</v>
      </c>
      <c r="D536" s="37" t="s">
        <v>1543</v>
      </c>
      <c r="E536" t="s">
        <v>54</v>
      </c>
    </row>
    <row r="537" spans="8:8">
      <c r="A537">
        <v>536.0</v>
      </c>
      <c r="B537" t="s">
        <v>30</v>
      </c>
      <c r="C537" t="s">
        <v>1544</v>
      </c>
      <c r="E537" t="s">
        <v>54</v>
      </c>
    </row>
    <row r="538" spans="8:8">
      <c r="A538">
        <v>537.0</v>
      </c>
      <c r="B538" t="s">
        <v>30</v>
      </c>
      <c r="C538" t="s">
        <v>1545</v>
      </c>
      <c r="E538" t="s">
        <v>54</v>
      </c>
    </row>
    <row r="539" spans="8:8">
      <c r="A539">
        <v>538.0</v>
      </c>
      <c r="B539" t="s">
        <v>39</v>
      </c>
      <c r="C539" t="s">
        <v>1546</v>
      </c>
      <c r="E539" t="s">
        <v>54</v>
      </c>
    </row>
    <row r="540" spans="8:8">
      <c r="A540">
        <v>539.0</v>
      </c>
      <c r="B540" t="s">
        <v>30</v>
      </c>
      <c r="C540" t="s">
        <v>1547</v>
      </c>
      <c r="E540" t="s">
        <v>54</v>
      </c>
    </row>
    <row r="541" spans="8:8">
      <c r="A541">
        <v>540.0</v>
      </c>
      <c r="B541" t="s">
        <v>30</v>
      </c>
      <c r="C541" t="s">
        <v>1548</v>
      </c>
      <c r="E541" t="s">
        <v>54</v>
      </c>
    </row>
    <row r="542" spans="8:8">
      <c r="A542">
        <v>541.0</v>
      </c>
      <c r="B542" t="s">
        <v>42</v>
      </c>
      <c r="C542" t="s">
        <v>1537</v>
      </c>
      <c r="E542" t="s">
        <v>54</v>
      </c>
    </row>
    <row r="543" spans="8:8">
      <c r="A543">
        <v>542.0</v>
      </c>
      <c r="B543" t="s">
        <v>39</v>
      </c>
      <c r="C543" t="s">
        <v>1549</v>
      </c>
      <c r="E543" t="s">
        <v>54</v>
      </c>
    </row>
    <row r="544" spans="8:8">
      <c r="A544">
        <v>543.0</v>
      </c>
      <c r="B544" t="s">
        <v>39</v>
      </c>
      <c r="C544" t="s">
        <v>1550</v>
      </c>
      <c r="E544" t="s">
        <v>54</v>
      </c>
    </row>
    <row r="545" spans="8:8">
      <c r="A545">
        <v>544.0</v>
      </c>
      <c r="B545" t="s">
        <v>42</v>
      </c>
      <c r="C545" t="s">
        <v>1551</v>
      </c>
      <c r="E545" t="s">
        <v>54</v>
      </c>
    </row>
    <row r="546" spans="8:8">
      <c r="A546">
        <v>545.0</v>
      </c>
      <c r="B546" t="s">
        <v>42</v>
      </c>
      <c r="C546" t="s">
        <v>1552</v>
      </c>
      <c r="E546" t="s">
        <v>54</v>
      </c>
    </row>
    <row r="547" spans="8:8">
      <c r="A547">
        <v>546.0</v>
      </c>
      <c r="B547" t="s">
        <v>39</v>
      </c>
      <c r="C547" t="s">
        <v>1553</v>
      </c>
      <c r="E547" t="s">
        <v>54</v>
      </c>
    </row>
    <row r="548" spans="8:8">
      <c r="A548">
        <v>547.0</v>
      </c>
      <c r="B548" t="s">
        <v>39</v>
      </c>
      <c r="C548" t="s">
        <v>1554</v>
      </c>
      <c r="E548" t="s">
        <v>54</v>
      </c>
    </row>
    <row r="549" spans="8:8">
      <c r="A549">
        <v>548.0</v>
      </c>
      <c r="B549" t="s">
        <v>39</v>
      </c>
      <c r="C549" t="s">
        <v>1555</v>
      </c>
      <c r="E549" t="s">
        <v>54</v>
      </c>
    </row>
    <row r="550" spans="8:8">
      <c r="A550">
        <v>549.0</v>
      </c>
      <c r="B550" t="s">
        <v>30</v>
      </c>
      <c r="C550" t="s">
        <v>1556</v>
      </c>
      <c r="E550" t="s">
        <v>54</v>
      </c>
    </row>
    <row r="551" spans="8:8">
      <c r="A551">
        <v>550.0</v>
      </c>
      <c r="B551" t="s">
        <v>42</v>
      </c>
      <c r="C551" t="s">
        <v>1557</v>
      </c>
      <c r="E551" t="s">
        <v>54</v>
      </c>
    </row>
    <row r="552" spans="8:8">
      <c r="A552">
        <v>551.0</v>
      </c>
      <c r="B552" t="s">
        <v>39</v>
      </c>
      <c r="C552" t="s">
        <v>1558</v>
      </c>
      <c r="E552" t="s">
        <v>54</v>
      </c>
    </row>
    <row r="553" spans="8:8">
      <c r="A553">
        <v>552.0</v>
      </c>
      <c r="B553" t="s">
        <v>42</v>
      </c>
      <c r="C553" t="s">
        <v>1559</v>
      </c>
      <c r="E553" t="s">
        <v>54</v>
      </c>
    </row>
    <row r="554" spans="8:8">
      <c r="A554">
        <v>553.0</v>
      </c>
      <c r="B554" t="s">
        <v>30</v>
      </c>
      <c r="C554" t="s">
        <v>1560</v>
      </c>
      <c r="E554" t="s">
        <v>54</v>
      </c>
    </row>
    <row r="555" spans="8:8">
      <c r="A555">
        <v>554.0</v>
      </c>
      <c r="B555" t="s">
        <v>39</v>
      </c>
      <c r="C555" t="s">
        <v>1561</v>
      </c>
      <c r="E555" t="s">
        <v>54</v>
      </c>
    </row>
    <row r="556" spans="8:8">
      <c r="A556">
        <v>555.0</v>
      </c>
      <c r="B556" t="s">
        <v>36</v>
      </c>
      <c r="C556" t="s">
        <v>1562</v>
      </c>
      <c r="E556" t="s">
        <v>54</v>
      </c>
    </row>
    <row r="557" spans="8:8">
      <c r="A557">
        <v>556.0</v>
      </c>
      <c r="B557" t="s">
        <v>39</v>
      </c>
      <c r="C557" t="s">
        <v>1563</v>
      </c>
      <c r="E557" t="s">
        <v>54</v>
      </c>
    </row>
    <row r="558" spans="8:8">
      <c r="A558">
        <v>557.0</v>
      </c>
      <c r="B558" t="s">
        <v>39</v>
      </c>
      <c r="C558" t="s">
        <v>1564</v>
      </c>
      <c r="E558" t="s">
        <v>54</v>
      </c>
    </row>
    <row r="559" spans="8:8">
      <c r="A559">
        <v>558.0</v>
      </c>
      <c r="B559" t="s">
        <v>39</v>
      </c>
      <c r="C559" t="s">
        <v>1565</v>
      </c>
      <c r="E559" t="s">
        <v>54</v>
      </c>
    </row>
    <row r="560" spans="8:8">
      <c r="A560">
        <v>559.0</v>
      </c>
      <c r="B560" t="s">
        <v>42</v>
      </c>
      <c r="C560" t="s">
        <v>1566</v>
      </c>
      <c r="E560" t="s">
        <v>54</v>
      </c>
    </row>
    <row r="561" spans="8:8">
      <c r="A561">
        <v>560.0</v>
      </c>
      <c r="B561" t="s">
        <v>39</v>
      </c>
      <c r="C561" t="s">
        <v>1567</v>
      </c>
      <c r="E561" t="s">
        <v>54</v>
      </c>
    </row>
    <row r="562" spans="8:8">
      <c r="A562">
        <v>561.0</v>
      </c>
      <c r="B562" t="s">
        <v>39</v>
      </c>
      <c r="C562" t="s">
        <v>1568</v>
      </c>
      <c r="E562" t="s">
        <v>54</v>
      </c>
    </row>
    <row r="563" spans="8:8">
      <c r="A563">
        <v>562.0</v>
      </c>
      <c r="B563" t="s">
        <v>39</v>
      </c>
      <c r="C563" t="s">
        <v>1569</v>
      </c>
      <c r="E563" t="s">
        <v>54</v>
      </c>
    </row>
    <row r="564" spans="8:8">
      <c r="A564">
        <v>563.0</v>
      </c>
      <c r="B564" t="s">
        <v>42</v>
      </c>
      <c r="C564" t="s">
        <v>1570</v>
      </c>
      <c r="E564" t="s">
        <v>54</v>
      </c>
    </row>
    <row r="565" spans="8:8">
      <c r="A565">
        <v>564.0</v>
      </c>
      <c r="B565" t="s">
        <v>36</v>
      </c>
      <c r="C565" t="s">
        <v>1571</v>
      </c>
      <c r="E565" t="s">
        <v>54</v>
      </c>
    </row>
    <row r="566" spans="8:8">
      <c r="A566">
        <v>565.0</v>
      </c>
      <c r="B566" t="s">
        <v>42</v>
      </c>
      <c r="C566" t="s">
        <v>1572</v>
      </c>
      <c r="E566" t="s">
        <v>54</v>
      </c>
    </row>
    <row r="567" spans="8:8">
      <c r="A567">
        <v>566.0</v>
      </c>
      <c r="B567" t="s">
        <v>30</v>
      </c>
      <c r="C567" t="s">
        <v>1573</v>
      </c>
      <c r="E567" t="s">
        <v>54</v>
      </c>
    </row>
    <row r="568" spans="8:8">
      <c r="A568">
        <v>567.0</v>
      </c>
      <c r="B568" t="s">
        <v>39</v>
      </c>
      <c r="C568" t="s">
        <v>1574</v>
      </c>
      <c r="E568" t="s">
        <v>54</v>
      </c>
    </row>
    <row r="569" spans="8:8">
      <c r="A569">
        <v>568.0</v>
      </c>
      <c r="B569" t="s">
        <v>39</v>
      </c>
      <c r="C569" t="s">
        <v>1575</v>
      </c>
      <c r="E569" t="s">
        <v>54</v>
      </c>
    </row>
    <row r="570" spans="8:8">
      <c r="A570">
        <v>569.0</v>
      </c>
      <c r="B570" t="s">
        <v>39</v>
      </c>
      <c r="C570" t="s">
        <v>1576</v>
      </c>
      <c r="E570" t="s">
        <v>54</v>
      </c>
    </row>
    <row r="571" spans="8:8">
      <c r="A571">
        <v>570.0</v>
      </c>
      <c r="B571" t="s">
        <v>39</v>
      </c>
      <c r="C571" t="s">
        <v>1577</v>
      </c>
      <c r="E571" t="s">
        <v>54</v>
      </c>
    </row>
    <row r="572" spans="8:8">
      <c r="A572">
        <v>571.0</v>
      </c>
      <c r="B572" t="s">
        <v>39</v>
      </c>
      <c r="C572" t="s">
        <v>1578</v>
      </c>
      <c r="E572" t="s">
        <v>54</v>
      </c>
    </row>
    <row r="573" spans="8:8">
      <c r="A573">
        <v>572.0</v>
      </c>
      <c r="B573" t="s">
        <v>42</v>
      </c>
      <c r="C573" t="s">
        <v>1579</v>
      </c>
      <c r="E573" t="s">
        <v>54</v>
      </c>
    </row>
    <row r="574" spans="8:8">
      <c r="A574">
        <v>573.0</v>
      </c>
      <c r="B574" t="s">
        <v>39</v>
      </c>
      <c r="C574" t="s">
        <v>1580</v>
      </c>
      <c r="E574" t="s">
        <v>54</v>
      </c>
    </row>
    <row r="575" spans="8:8">
      <c r="A575">
        <v>574.0</v>
      </c>
      <c r="B575" t="s">
        <v>42</v>
      </c>
      <c r="C575" t="s">
        <v>1581</v>
      </c>
      <c r="E575" t="s">
        <v>54</v>
      </c>
    </row>
    <row r="576" spans="8:8">
      <c r="A576">
        <v>575.0</v>
      </c>
      <c r="B576" t="s">
        <v>39</v>
      </c>
      <c r="C576" t="s">
        <v>1582</v>
      </c>
      <c r="E576" t="s">
        <v>54</v>
      </c>
    </row>
    <row r="577" spans="8:8">
      <c r="A577">
        <v>576.0</v>
      </c>
      <c r="B577" t="s">
        <v>39</v>
      </c>
      <c r="C577" t="s">
        <v>1583</v>
      </c>
      <c r="E577" t="s">
        <v>54</v>
      </c>
    </row>
    <row r="578" spans="8:8">
      <c r="A578">
        <v>577.0</v>
      </c>
      <c r="B578" t="s">
        <v>42</v>
      </c>
      <c r="C578" t="s">
        <v>1584</v>
      </c>
      <c r="E578" t="s">
        <v>54</v>
      </c>
    </row>
    <row r="579" spans="8:8">
      <c r="A579">
        <v>578.0</v>
      </c>
      <c r="B579" t="s">
        <v>36</v>
      </c>
      <c r="C579" t="s">
        <v>1585</v>
      </c>
      <c r="E579" t="s">
        <v>54</v>
      </c>
    </row>
    <row r="580" spans="8:8">
      <c r="A580">
        <v>579.0</v>
      </c>
      <c r="B580" t="s">
        <v>42</v>
      </c>
      <c r="C580" t="s">
        <v>1586</v>
      </c>
      <c r="E580" t="s">
        <v>54</v>
      </c>
    </row>
    <row r="581" spans="8:8">
      <c r="A581">
        <v>580.0</v>
      </c>
      <c r="B581" t="s">
        <v>33</v>
      </c>
      <c r="C581" t="s">
        <v>1587</v>
      </c>
      <c r="E581" t="s">
        <v>54</v>
      </c>
    </row>
    <row r="582" spans="8:8">
      <c r="A582">
        <v>581.0</v>
      </c>
      <c r="B582" t="s">
        <v>42</v>
      </c>
      <c r="C582" t="s">
        <v>1588</v>
      </c>
      <c r="E582" t="s">
        <v>54</v>
      </c>
    </row>
    <row r="583" spans="8:8">
      <c r="A583">
        <v>582.0</v>
      </c>
      <c r="B583" t="s">
        <v>39</v>
      </c>
      <c r="C583" t="s">
        <v>1589</v>
      </c>
      <c r="E583" t="s">
        <v>54</v>
      </c>
    </row>
    <row r="584" spans="8:8">
      <c r="A584">
        <v>583.0</v>
      </c>
      <c r="B584" t="s">
        <v>42</v>
      </c>
      <c r="C584" t="s">
        <v>1590</v>
      </c>
      <c r="E584" t="s">
        <v>54</v>
      </c>
    </row>
    <row r="585" spans="8:8">
      <c r="A585">
        <v>584.0</v>
      </c>
      <c r="B585" t="s">
        <v>36</v>
      </c>
      <c r="C585" t="s">
        <v>1591</v>
      </c>
      <c r="E585" t="s">
        <v>54</v>
      </c>
    </row>
    <row r="586" spans="8:8">
      <c r="A586">
        <v>585.0</v>
      </c>
      <c r="B586" t="s">
        <v>36</v>
      </c>
      <c r="C586" t="s">
        <v>1592</v>
      </c>
      <c r="E586" t="s">
        <v>54</v>
      </c>
    </row>
    <row r="587" spans="8:8">
      <c r="A587">
        <v>586.0</v>
      </c>
      <c r="B587" t="s">
        <v>42</v>
      </c>
      <c r="C587" t="s">
        <v>1593</v>
      </c>
      <c r="E587" t="s">
        <v>54</v>
      </c>
    </row>
    <row r="588" spans="8:8">
      <c r="A588">
        <v>587.0</v>
      </c>
      <c r="B588" t="s">
        <v>42</v>
      </c>
      <c r="C588" t="s">
        <v>1594</v>
      </c>
      <c r="E588" t="s">
        <v>54</v>
      </c>
    </row>
    <row r="589" spans="8:8">
      <c r="A589">
        <v>588.0</v>
      </c>
      <c r="B589" t="s">
        <v>30</v>
      </c>
      <c r="C589" t="s">
        <v>1595</v>
      </c>
      <c r="E589" t="s">
        <v>54</v>
      </c>
    </row>
    <row r="590" spans="8:8">
      <c r="A590">
        <v>589.0</v>
      </c>
      <c r="B590" t="s">
        <v>30</v>
      </c>
      <c r="C590" t="s">
        <v>1596</v>
      </c>
      <c r="E590" t="s">
        <v>54</v>
      </c>
    </row>
    <row r="591" spans="8:8">
      <c r="A591">
        <v>590.0</v>
      </c>
      <c r="B591" t="s">
        <v>42</v>
      </c>
      <c r="C591" t="s">
        <v>1597</v>
      </c>
      <c r="E591" t="s">
        <v>54</v>
      </c>
    </row>
    <row r="592" spans="8:8">
      <c r="A592">
        <v>591.0</v>
      </c>
      <c r="B592" t="s">
        <v>39</v>
      </c>
      <c r="C592" t="s">
        <v>1598</v>
      </c>
      <c r="E592" t="s">
        <v>54</v>
      </c>
    </row>
    <row r="593" spans="8:8">
      <c r="A593">
        <v>592.0</v>
      </c>
      <c r="B593" t="s">
        <v>42</v>
      </c>
      <c r="C593" t="s">
        <v>1599</v>
      </c>
      <c r="E593" t="s">
        <v>54</v>
      </c>
    </row>
    <row r="594" spans="8:8">
      <c r="A594">
        <v>593.0</v>
      </c>
      <c r="B594" t="s">
        <v>39</v>
      </c>
      <c r="C594" t="s">
        <v>1600</v>
      </c>
      <c r="E594" t="s">
        <v>54</v>
      </c>
    </row>
    <row r="595" spans="8:8">
      <c r="A595">
        <v>594.0</v>
      </c>
      <c r="B595" t="s">
        <v>42</v>
      </c>
      <c r="C595" t="s">
        <v>200</v>
      </c>
      <c r="E595" t="s">
        <v>54</v>
      </c>
    </row>
    <row r="596" spans="8:8">
      <c r="A596">
        <v>595.0</v>
      </c>
      <c r="B596" t="s">
        <v>42</v>
      </c>
      <c r="C596" t="s">
        <v>1601</v>
      </c>
      <c r="E596" t="s">
        <v>54</v>
      </c>
    </row>
    <row r="597" spans="8:8">
      <c r="A597">
        <v>596.0</v>
      </c>
      <c r="B597" t="s">
        <v>42</v>
      </c>
      <c r="C597" t="s">
        <v>1602</v>
      </c>
      <c r="E597" t="s">
        <v>54</v>
      </c>
    </row>
    <row r="598" spans="8:8">
      <c r="A598">
        <v>597.0</v>
      </c>
      <c r="B598" t="s">
        <v>42</v>
      </c>
      <c r="C598" t="s">
        <v>1603</v>
      </c>
      <c r="E598" t="s">
        <v>54</v>
      </c>
    </row>
    <row r="599" spans="8:8">
      <c r="A599">
        <v>598.0</v>
      </c>
      <c r="B599" t="s">
        <v>30</v>
      </c>
      <c r="C599" t="s">
        <v>1604</v>
      </c>
      <c r="E599" t="s">
        <v>54</v>
      </c>
    </row>
    <row r="600" spans="8:8">
      <c r="A600">
        <v>599.0</v>
      </c>
      <c r="B600" t="s">
        <v>30</v>
      </c>
      <c r="C600" t="s">
        <v>1605</v>
      </c>
      <c r="E600" t="s">
        <v>54</v>
      </c>
    </row>
    <row r="601" spans="8:8">
      <c r="A601">
        <v>600.0</v>
      </c>
      <c r="B601" t="s">
        <v>30</v>
      </c>
      <c r="C601" t="s">
        <v>917</v>
      </c>
      <c r="E601" t="s">
        <v>54</v>
      </c>
    </row>
    <row r="602" spans="8:8">
      <c r="A602">
        <v>601.0</v>
      </c>
      <c r="B602" t="s">
        <v>42</v>
      </c>
      <c r="C602" t="s">
        <v>1606</v>
      </c>
      <c r="E602" t="s">
        <v>54</v>
      </c>
    </row>
  </sheetData>
  <sheetProtection sheet="0" formatCells="0" insertHyperlinks="0" autoFilter="0"/>
  <autoFilter ref="A1:E602">
    <filterColumn colId="0" showButton="1"/>
  </autoFilter>
  <pageMargins left="0.7" right="0.7" top="0.75" bottom="0.75" header="0.3" footer="0.3"/>
</worksheet>
</file>

<file path=xl/worksheets/sheet6.xml><?xml version="1.0" encoding="utf-8"?>
<worksheet xmlns:r="http://schemas.openxmlformats.org/officeDocument/2006/relationships" xmlns="http://schemas.openxmlformats.org/spreadsheetml/2006/main">
  <sheetPr>
    <tabColor rgb="FF00B0F0"/>
  </sheetPr>
  <dimension ref="A1:G479"/>
  <sheetViews>
    <sheetView workbookViewId="0">
      <selection activeCell="A343" sqref="A343:A478"/>
    </sheetView>
  </sheetViews>
  <sheetFormatPr defaultRowHeight="13.5" defaultColWidth="9"/>
  <cols>
    <col min="1" max="3" customWidth="1" width="10.625" style="0"/>
    <col min="4" max="4" customWidth="1" width="65.625" style="0"/>
    <col min="5" max="5" customWidth="1" width="10.625" style="0"/>
  </cols>
  <sheetData>
    <row r="1" spans="8:8">
      <c r="A1" t="s">
        <v>105</v>
      </c>
      <c r="B1" t="s">
        <v>17</v>
      </c>
      <c r="C1" t="s">
        <v>106</v>
      </c>
      <c r="D1" t="s">
        <v>107</v>
      </c>
      <c r="E1" t="s">
        <v>108</v>
      </c>
    </row>
    <row r="2" spans="8:8">
      <c r="A2">
        <v>1.0</v>
      </c>
      <c r="B2" t="s">
        <v>39</v>
      </c>
      <c r="C2" t="s">
        <v>1607</v>
      </c>
      <c r="D2" t="s">
        <v>1608</v>
      </c>
    </row>
    <row r="3" spans="8:8">
      <c r="A3">
        <v>2.0</v>
      </c>
      <c r="B3" t="s">
        <v>39</v>
      </c>
      <c r="C3" t="s">
        <v>1609</v>
      </c>
      <c r="D3" t="s">
        <v>1610</v>
      </c>
    </row>
    <row r="4" spans="8:8">
      <c r="A4">
        <v>3.0</v>
      </c>
      <c r="B4" t="s">
        <v>39</v>
      </c>
      <c r="C4" t="s">
        <v>1611</v>
      </c>
      <c r="D4" t="s">
        <v>1612</v>
      </c>
    </row>
    <row r="5" spans="8:8">
      <c r="A5">
        <v>4.0</v>
      </c>
      <c r="B5" t="s">
        <v>39</v>
      </c>
      <c r="C5" t="s">
        <v>1613</v>
      </c>
      <c r="D5" t="s">
        <v>1614</v>
      </c>
    </row>
    <row r="6" spans="8:8">
      <c r="A6">
        <v>5.0</v>
      </c>
      <c r="B6" t="s">
        <v>39</v>
      </c>
      <c r="C6" t="s">
        <v>1615</v>
      </c>
      <c r="D6" t="s">
        <v>1616</v>
      </c>
    </row>
    <row r="7" spans="8:8">
      <c r="A7">
        <v>6.0</v>
      </c>
      <c r="B7" t="s">
        <v>39</v>
      </c>
      <c r="C7" t="s">
        <v>1617</v>
      </c>
      <c r="D7" t="s">
        <v>1618</v>
      </c>
    </row>
    <row r="8" spans="8:8">
      <c r="A8">
        <v>7.0</v>
      </c>
      <c r="B8" t="s">
        <v>39</v>
      </c>
      <c r="C8" t="s">
        <v>1619</v>
      </c>
      <c r="D8" t="s">
        <v>1620</v>
      </c>
    </row>
    <row r="9" spans="8:8">
      <c r="A9">
        <v>8.0</v>
      </c>
      <c r="B9" t="s">
        <v>42</v>
      </c>
      <c r="C9" t="s">
        <v>1621</v>
      </c>
      <c r="D9" t="s">
        <v>1622</v>
      </c>
    </row>
    <row r="10" spans="8:8">
      <c r="A10">
        <v>9.0</v>
      </c>
      <c r="B10" t="s">
        <v>42</v>
      </c>
      <c r="C10" t="s">
        <v>1037</v>
      </c>
      <c r="D10" t="s">
        <v>1623</v>
      </c>
    </row>
    <row r="11" spans="8:8">
      <c r="A11">
        <v>10.0</v>
      </c>
      <c r="B11" t="s">
        <v>42</v>
      </c>
      <c r="C11" t="s">
        <v>1624</v>
      </c>
      <c r="D11" t="s">
        <v>1625</v>
      </c>
    </row>
    <row r="12" spans="8:8">
      <c r="A12">
        <v>11.0</v>
      </c>
      <c r="B12" t="s">
        <v>42</v>
      </c>
      <c r="C12" t="s">
        <v>1626</v>
      </c>
      <c r="D12" t="s">
        <v>1627</v>
      </c>
    </row>
    <row r="13" spans="8:8">
      <c r="A13">
        <v>12.0</v>
      </c>
      <c r="B13" t="s">
        <v>42</v>
      </c>
      <c r="C13" t="s">
        <v>1628</v>
      </c>
      <c r="D13" t="s">
        <v>1629</v>
      </c>
    </row>
    <row r="14" spans="8:8">
      <c r="A14">
        <v>13.0</v>
      </c>
      <c r="B14" t="s">
        <v>42</v>
      </c>
      <c r="C14" t="s">
        <v>1630</v>
      </c>
      <c r="D14" t="s">
        <v>1631</v>
      </c>
    </row>
    <row r="15" spans="8:8">
      <c r="A15">
        <v>14.0</v>
      </c>
      <c r="B15" t="s">
        <v>42</v>
      </c>
      <c r="C15" t="s">
        <v>1435</v>
      </c>
      <c r="D15" t="s">
        <v>1632</v>
      </c>
    </row>
    <row r="16" spans="8:8">
      <c r="A16">
        <v>15.0</v>
      </c>
      <c r="B16" t="s">
        <v>42</v>
      </c>
      <c r="C16" t="s">
        <v>1633</v>
      </c>
      <c r="D16" t="s">
        <v>1634</v>
      </c>
    </row>
    <row r="17" spans="8:8">
      <c r="A17">
        <v>16.0</v>
      </c>
      <c r="B17" t="s">
        <v>42</v>
      </c>
      <c r="C17" t="s">
        <v>1635</v>
      </c>
      <c r="D17" t="s">
        <v>1636</v>
      </c>
    </row>
    <row r="18" spans="8:8">
      <c r="A18">
        <v>17.0</v>
      </c>
      <c r="B18" t="s">
        <v>42</v>
      </c>
      <c r="C18" t="s">
        <v>1637</v>
      </c>
      <c r="D18" t="s">
        <v>1638</v>
      </c>
    </row>
    <row r="19" spans="8:8">
      <c r="A19">
        <v>18.0</v>
      </c>
      <c r="B19" t="s">
        <v>42</v>
      </c>
      <c r="C19" t="s">
        <v>1639</v>
      </c>
      <c r="D19" t="s">
        <v>1640</v>
      </c>
    </row>
    <row r="20" spans="8:8">
      <c r="A20">
        <v>19.0</v>
      </c>
      <c r="B20" t="s">
        <v>42</v>
      </c>
      <c r="C20" t="s">
        <v>1641</v>
      </c>
      <c r="D20" t="s">
        <v>1642</v>
      </c>
    </row>
    <row r="21" spans="8:8">
      <c r="A21">
        <v>20.0</v>
      </c>
      <c r="B21" t="s">
        <v>42</v>
      </c>
      <c r="C21" t="s">
        <v>199</v>
      </c>
      <c r="D21" t="s">
        <v>1643</v>
      </c>
    </row>
    <row r="22" spans="8:8">
      <c r="A22">
        <v>21.0</v>
      </c>
      <c r="B22" t="s">
        <v>42</v>
      </c>
      <c r="C22" t="s">
        <v>1644</v>
      </c>
      <c r="D22" t="s">
        <v>1645</v>
      </c>
    </row>
    <row r="23" spans="8:8">
      <c r="A23">
        <v>22.0</v>
      </c>
      <c r="B23" t="s">
        <v>42</v>
      </c>
      <c r="C23" t="s">
        <v>1646</v>
      </c>
      <c r="D23" t="s">
        <v>1647</v>
      </c>
    </row>
    <row r="24" spans="8:8">
      <c r="A24">
        <v>23.0</v>
      </c>
      <c r="B24" t="s">
        <v>42</v>
      </c>
      <c r="C24" t="s">
        <v>1648</v>
      </c>
      <c r="D24" t="s">
        <v>1649</v>
      </c>
    </row>
    <row r="25" spans="8:8">
      <c r="A25">
        <v>24.0</v>
      </c>
      <c r="B25" t="s">
        <v>42</v>
      </c>
      <c r="C25" t="s">
        <v>1650</v>
      </c>
      <c r="D25" t="s">
        <v>1651</v>
      </c>
    </row>
    <row r="26" spans="8:8">
      <c r="A26">
        <v>25.0</v>
      </c>
      <c r="B26" t="s">
        <v>42</v>
      </c>
      <c r="C26" t="s">
        <v>1652</v>
      </c>
      <c r="D26" t="s">
        <v>1653</v>
      </c>
    </row>
    <row r="27" spans="8:8">
      <c r="A27">
        <v>26.0</v>
      </c>
      <c r="B27" t="s">
        <v>42</v>
      </c>
      <c r="C27" t="s">
        <v>1654</v>
      </c>
      <c r="D27" t="s">
        <v>1655</v>
      </c>
    </row>
    <row r="28" spans="8:8">
      <c r="A28">
        <v>27.0</v>
      </c>
      <c r="B28" t="s">
        <v>42</v>
      </c>
      <c r="C28" t="s">
        <v>1656</v>
      </c>
      <c r="D28" t="s">
        <v>1657</v>
      </c>
    </row>
    <row r="29" spans="8:8">
      <c r="A29">
        <v>28.0</v>
      </c>
      <c r="B29" t="s">
        <v>42</v>
      </c>
      <c r="C29" t="s">
        <v>199</v>
      </c>
      <c r="D29" t="s">
        <v>1658</v>
      </c>
    </row>
    <row r="30" spans="8:8">
      <c r="A30">
        <v>29.0</v>
      </c>
      <c r="B30" t="s">
        <v>42</v>
      </c>
      <c r="C30" t="s">
        <v>1659</v>
      </c>
      <c r="D30" t="s">
        <v>1660</v>
      </c>
    </row>
    <row r="31" spans="8:8">
      <c r="A31">
        <v>30.0</v>
      </c>
      <c r="B31" t="s">
        <v>42</v>
      </c>
      <c r="C31" t="s">
        <v>1661</v>
      </c>
      <c r="D31" t="s">
        <v>1662</v>
      </c>
    </row>
    <row r="32" spans="8:8">
      <c r="A32">
        <v>31.0</v>
      </c>
      <c r="B32" t="s">
        <v>30</v>
      </c>
      <c r="C32" t="s">
        <v>1663</v>
      </c>
      <c r="D32" t="s">
        <v>1664</v>
      </c>
    </row>
    <row r="33" spans="8:8">
      <c r="A33">
        <v>32.0</v>
      </c>
      <c r="B33" t="s">
        <v>30</v>
      </c>
      <c r="C33" t="s">
        <v>1665</v>
      </c>
      <c r="D33" t="s">
        <v>1666</v>
      </c>
    </row>
    <row r="34" spans="8:8">
      <c r="A34">
        <v>33.0</v>
      </c>
      <c r="B34" t="s">
        <v>30</v>
      </c>
      <c r="C34" t="s">
        <v>1667</v>
      </c>
      <c r="D34" t="s">
        <v>1668</v>
      </c>
    </row>
    <row r="35" spans="8:8">
      <c r="A35">
        <v>34.0</v>
      </c>
      <c r="B35" t="s">
        <v>30</v>
      </c>
      <c r="C35" t="s">
        <v>1669</v>
      </c>
      <c r="D35" t="s">
        <v>1670</v>
      </c>
    </row>
    <row r="36" spans="8:8">
      <c r="A36">
        <v>35.0</v>
      </c>
      <c r="B36" t="s">
        <v>30</v>
      </c>
      <c r="C36" t="s">
        <v>1671</v>
      </c>
      <c r="D36" t="s">
        <v>1672</v>
      </c>
    </row>
    <row r="37" spans="8:8">
      <c r="A37">
        <v>36.0</v>
      </c>
      <c r="B37" t="s">
        <v>30</v>
      </c>
      <c r="C37" t="s">
        <v>1673</v>
      </c>
      <c r="D37" t="s">
        <v>1674</v>
      </c>
    </row>
    <row r="38" spans="8:8">
      <c r="A38">
        <v>37.0</v>
      </c>
      <c r="B38" t="s">
        <v>30</v>
      </c>
      <c r="C38" t="s">
        <v>1675</v>
      </c>
      <c r="D38" t="s">
        <v>1676</v>
      </c>
    </row>
    <row r="39" spans="8:8">
      <c r="A39">
        <v>38.0</v>
      </c>
      <c r="B39" t="s">
        <v>30</v>
      </c>
      <c r="C39" t="s">
        <v>1677</v>
      </c>
      <c r="D39" t="s">
        <v>1678</v>
      </c>
    </row>
    <row r="40" spans="8:8">
      <c r="A40">
        <v>39.0</v>
      </c>
      <c r="B40" t="s">
        <v>30</v>
      </c>
      <c r="C40" t="s">
        <v>1679</v>
      </c>
      <c r="D40" t="s">
        <v>1680</v>
      </c>
    </row>
    <row r="41" spans="8:8">
      <c r="A41">
        <v>40.0</v>
      </c>
      <c r="B41" t="s">
        <v>30</v>
      </c>
      <c r="C41" t="s">
        <v>1681</v>
      </c>
      <c r="D41" t="s">
        <v>1682</v>
      </c>
    </row>
    <row r="42" spans="8:8">
      <c r="A42">
        <v>41.0</v>
      </c>
      <c r="B42" t="s">
        <v>30</v>
      </c>
      <c r="C42" t="s">
        <v>1683</v>
      </c>
      <c r="D42" t="s">
        <v>1684</v>
      </c>
    </row>
    <row r="43" spans="8:8">
      <c r="A43">
        <v>42.0</v>
      </c>
      <c r="B43" t="s">
        <v>30</v>
      </c>
      <c r="C43" t="s">
        <v>1685</v>
      </c>
      <c r="D43" t="s">
        <v>1686</v>
      </c>
    </row>
    <row r="44" spans="8:8">
      <c r="A44">
        <v>43.0</v>
      </c>
      <c r="B44" t="s">
        <v>30</v>
      </c>
      <c r="C44" t="s">
        <v>1687</v>
      </c>
      <c r="D44" t="s">
        <v>1688</v>
      </c>
    </row>
    <row r="45" spans="8:8">
      <c r="A45">
        <v>44.0</v>
      </c>
      <c r="B45" t="s">
        <v>30</v>
      </c>
      <c r="C45" t="s">
        <v>1689</v>
      </c>
      <c r="D45" t="s">
        <v>1690</v>
      </c>
    </row>
    <row r="46" spans="8:8">
      <c r="A46">
        <v>45.0</v>
      </c>
      <c r="B46" t="s">
        <v>30</v>
      </c>
      <c r="C46" t="s">
        <v>1691</v>
      </c>
      <c r="D46" t="s">
        <v>1692</v>
      </c>
    </row>
    <row r="47" spans="8:8">
      <c r="A47">
        <v>46.0</v>
      </c>
      <c r="B47" t="s">
        <v>30</v>
      </c>
      <c r="C47" t="s">
        <v>1693</v>
      </c>
      <c r="D47" t="s">
        <v>1694</v>
      </c>
    </row>
    <row r="48" spans="8:8">
      <c r="A48">
        <v>47.0</v>
      </c>
      <c r="B48" t="s">
        <v>30</v>
      </c>
      <c r="C48" t="s">
        <v>1695</v>
      </c>
      <c r="D48" t="s">
        <v>1696</v>
      </c>
    </row>
    <row r="49" spans="8:8">
      <c r="A49">
        <v>48.0</v>
      </c>
      <c r="B49" t="s">
        <v>30</v>
      </c>
      <c r="C49" t="s">
        <v>1697</v>
      </c>
      <c r="D49" t="s">
        <v>1698</v>
      </c>
    </row>
    <row r="50" spans="8:8">
      <c r="A50">
        <v>49.0</v>
      </c>
      <c r="B50" t="s">
        <v>30</v>
      </c>
      <c r="C50" t="s">
        <v>1699</v>
      </c>
      <c r="D50" t="s">
        <v>1700</v>
      </c>
    </row>
    <row r="51" spans="8:8">
      <c r="A51">
        <v>50.0</v>
      </c>
      <c r="B51" t="s">
        <v>30</v>
      </c>
      <c r="C51" t="s">
        <v>1701</v>
      </c>
      <c r="D51" t="s">
        <v>1702</v>
      </c>
    </row>
    <row r="52" spans="8:8">
      <c r="A52">
        <v>51.0</v>
      </c>
      <c r="B52" t="s">
        <v>30</v>
      </c>
      <c r="C52" t="s">
        <v>1703</v>
      </c>
      <c r="D52" t="s">
        <v>1704</v>
      </c>
    </row>
    <row r="53" spans="8:8">
      <c r="A53">
        <v>52.0</v>
      </c>
      <c r="B53" t="s">
        <v>30</v>
      </c>
      <c r="C53" t="s">
        <v>1705</v>
      </c>
      <c r="D53" t="s">
        <v>1706</v>
      </c>
    </row>
    <row r="54" spans="8:8">
      <c r="A54">
        <v>53.0</v>
      </c>
      <c r="B54" t="s">
        <v>30</v>
      </c>
      <c r="C54" t="s">
        <v>1707</v>
      </c>
      <c r="D54" t="s">
        <v>1708</v>
      </c>
    </row>
    <row r="55" spans="8:8">
      <c r="A55">
        <v>54.0</v>
      </c>
      <c r="B55" t="s">
        <v>30</v>
      </c>
      <c r="C55" t="s">
        <v>1709</v>
      </c>
      <c r="D55" t="s">
        <v>1710</v>
      </c>
    </row>
    <row r="56" spans="8:8">
      <c r="A56">
        <v>55.0</v>
      </c>
      <c r="B56" t="s">
        <v>30</v>
      </c>
      <c r="C56" t="s">
        <v>1711</v>
      </c>
      <c r="D56" t="s">
        <v>1712</v>
      </c>
    </row>
    <row r="57" spans="8:8">
      <c r="A57">
        <v>56.0</v>
      </c>
      <c r="B57" t="s">
        <v>30</v>
      </c>
      <c r="C57" t="s">
        <v>1713</v>
      </c>
      <c r="D57" t="s">
        <v>1714</v>
      </c>
    </row>
    <row r="58" spans="8:8">
      <c r="A58">
        <v>57.0</v>
      </c>
      <c r="B58" t="s">
        <v>30</v>
      </c>
      <c r="C58" t="s">
        <v>1715</v>
      </c>
      <c r="D58" t="s">
        <v>1716</v>
      </c>
    </row>
    <row r="59" spans="8:8">
      <c r="A59">
        <v>58.0</v>
      </c>
      <c r="B59" t="s">
        <v>30</v>
      </c>
      <c r="C59" t="s">
        <v>1717</v>
      </c>
      <c r="D59" t="s">
        <v>1718</v>
      </c>
    </row>
    <row r="60" spans="8:8">
      <c r="A60">
        <v>59.0</v>
      </c>
      <c r="B60" t="s">
        <v>30</v>
      </c>
      <c r="C60" t="s">
        <v>1719</v>
      </c>
      <c r="D60" t="s">
        <v>1720</v>
      </c>
    </row>
    <row r="61" spans="8:8">
      <c r="A61">
        <v>60.0</v>
      </c>
      <c r="B61" t="s">
        <v>30</v>
      </c>
      <c r="C61" t="s">
        <v>1721</v>
      </c>
      <c r="D61" t="s">
        <v>1722</v>
      </c>
    </row>
    <row r="62" spans="8:8">
      <c r="A62">
        <v>61.0</v>
      </c>
      <c r="B62" t="s">
        <v>30</v>
      </c>
      <c r="C62" t="s">
        <v>1723</v>
      </c>
      <c r="D62" t="s">
        <v>1724</v>
      </c>
    </row>
    <row r="63" spans="8:8">
      <c r="A63">
        <v>62.0</v>
      </c>
      <c r="B63" t="s">
        <v>30</v>
      </c>
      <c r="C63" t="s">
        <v>1725</v>
      </c>
      <c r="D63" t="s">
        <v>1726</v>
      </c>
    </row>
    <row r="64" spans="8:8">
      <c r="A64">
        <v>63.0</v>
      </c>
      <c r="B64" t="s">
        <v>30</v>
      </c>
      <c r="C64" t="s">
        <v>1727</v>
      </c>
      <c r="D64" t="s">
        <v>1728</v>
      </c>
    </row>
    <row r="65" spans="8:8">
      <c r="A65">
        <v>64.0</v>
      </c>
      <c r="B65" t="s">
        <v>30</v>
      </c>
      <c r="C65" t="s">
        <v>1729</v>
      </c>
      <c r="D65" t="s">
        <v>1730</v>
      </c>
    </row>
    <row r="66" spans="8:8">
      <c r="A66">
        <v>65.0</v>
      </c>
      <c r="B66" t="s">
        <v>30</v>
      </c>
      <c r="C66" t="s">
        <v>1731</v>
      </c>
      <c r="D66" t="s">
        <v>1732</v>
      </c>
    </row>
    <row r="67" spans="8:8">
      <c r="A67">
        <v>66.0</v>
      </c>
      <c r="B67" t="s">
        <v>30</v>
      </c>
      <c r="C67" t="s">
        <v>1733</v>
      </c>
      <c r="D67" t="s">
        <v>1734</v>
      </c>
    </row>
    <row r="68" spans="8:8">
      <c r="A68">
        <v>67.0</v>
      </c>
      <c r="B68" t="s">
        <v>30</v>
      </c>
      <c r="C68" t="s">
        <v>1735</v>
      </c>
      <c r="D68" t="s">
        <v>1736</v>
      </c>
    </row>
    <row r="69" spans="8:8">
      <c r="A69">
        <v>68.0</v>
      </c>
      <c r="B69" t="s">
        <v>30</v>
      </c>
      <c r="C69" t="s">
        <v>1737</v>
      </c>
      <c r="D69" t="s">
        <v>1738</v>
      </c>
    </row>
    <row r="70" spans="8:8">
      <c r="A70">
        <v>69.0</v>
      </c>
      <c r="B70" t="s">
        <v>30</v>
      </c>
      <c r="C70" t="s">
        <v>1739</v>
      </c>
      <c r="D70" t="s">
        <v>1740</v>
      </c>
    </row>
    <row r="71" spans="8:8">
      <c r="A71">
        <v>70.0</v>
      </c>
      <c r="B71" t="s">
        <v>30</v>
      </c>
      <c r="C71" t="s">
        <v>1741</v>
      </c>
      <c r="D71" t="s">
        <v>1742</v>
      </c>
    </row>
    <row r="72" spans="8:8">
      <c r="A72">
        <v>71.0</v>
      </c>
      <c r="B72" t="s">
        <v>30</v>
      </c>
      <c r="C72" t="s">
        <v>1743</v>
      </c>
      <c r="D72" t="s">
        <v>1744</v>
      </c>
    </row>
    <row r="73" spans="8:8">
      <c r="A73">
        <v>72.0</v>
      </c>
      <c r="B73" t="s">
        <v>30</v>
      </c>
      <c r="C73" t="s">
        <v>1745</v>
      </c>
      <c r="D73" t="s">
        <v>1746</v>
      </c>
    </row>
    <row r="74" spans="8:8">
      <c r="A74">
        <v>73.0</v>
      </c>
      <c r="B74" t="s">
        <v>30</v>
      </c>
      <c r="C74" t="s">
        <v>1747</v>
      </c>
      <c r="D74" t="s">
        <v>1748</v>
      </c>
    </row>
    <row r="75" spans="8:8">
      <c r="A75">
        <v>74.0</v>
      </c>
      <c r="B75" t="s">
        <v>30</v>
      </c>
      <c r="C75" t="s">
        <v>1749</v>
      </c>
      <c r="D75" t="s">
        <v>1750</v>
      </c>
    </row>
    <row r="76" spans="8:8">
      <c r="A76">
        <v>75.0</v>
      </c>
      <c r="B76" t="s">
        <v>30</v>
      </c>
      <c r="C76" t="s">
        <v>1751</v>
      </c>
      <c r="D76" t="s">
        <v>1752</v>
      </c>
    </row>
    <row r="77" spans="8:8">
      <c r="A77">
        <v>76.0</v>
      </c>
      <c r="B77" t="s">
        <v>30</v>
      </c>
      <c r="C77" t="s">
        <v>1753</v>
      </c>
      <c r="D77" t="s">
        <v>1754</v>
      </c>
    </row>
    <row r="78" spans="8:8">
      <c r="A78">
        <v>77.0</v>
      </c>
      <c r="B78" t="s">
        <v>30</v>
      </c>
      <c r="C78" t="s">
        <v>1755</v>
      </c>
      <c r="D78" t="s">
        <v>1756</v>
      </c>
    </row>
    <row r="79" spans="8:8">
      <c r="A79">
        <v>78.0</v>
      </c>
      <c r="B79" t="s">
        <v>30</v>
      </c>
      <c r="C79" t="s">
        <v>1757</v>
      </c>
      <c r="D79" t="s">
        <v>1758</v>
      </c>
    </row>
    <row r="80" spans="8:8">
      <c r="A80">
        <v>79.0</v>
      </c>
      <c r="B80" t="s">
        <v>30</v>
      </c>
      <c r="C80" t="s">
        <v>1759</v>
      </c>
      <c r="D80" t="s">
        <v>1760</v>
      </c>
    </row>
    <row r="81" spans="8:8">
      <c r="A81">
        <v>80.0</v>
      </c>
      <c r="B81" t="s">
        <v>30</v>
      </c>
      <c r="C81" t="s">
        <v>1761</v>
      </c>
      <c r="D81" t="s">
        <v>1762</v>
      </c>
    </row>
    <row r="82" spans="8:8">
      <c r="A82">
        <v>81.0</v>
      </c>
      <c r="B82" t="s">
        <v>30</v>
      </c>
      <c r="C82" t="s">
        <v>1763</v>
      </c>
      <c r="D82" t="s">
        <v>1764</v>
      </c>
    </row>
    <row r="83" spans="8:8">
      <c r="A83">
        <v>82.0</v>
      </c>
      <c r="B83" t="s">
        <v>30</v>
      </c>
      <c r="C83" t="s">
        <v>1765</v>
      </c>
      <c r="D83" t="s">
        <v>1766</v>
      </c>
    </row>
    <row r="84" spans="8:8">
      <c r="A84">
        <v>83.0</v>
      </c>
      <c r="B84" t="s">
        <v>30</v>
      </c>
      <c r="C84" t="s">
        <v>1767</v>
      </c>
      <c r="D84" t="s">
        <v>1768</v>
      </c>
    </row>
    <row r="85" spans="8:8">
      <c r="A85">
        <v>84.0</v>
      </c>
      <c r="B85" t="s">
        <v>30</v>
      </c>
      <c r="C85" t="s">
        <v>1769</v>
      </c>
      <c r="D85" t="s">
        <v>1770</v>
      </c>
    </row>
    <row r="86" spans="8:8">
      <c r="A86">
        <v>85.0</v>
      </c>
      <c r="B86" t="s">
        <v>30</v>
      </c>
      <c r="C86" t="s">
        <v>1771</v>
      </c>
      <c r="D86" t="s">
        <v>1772</v>
      </c>
    </row>
    <row r="87" spans="8:8">
      <c r="A87">
        <v>86.0</v>
      </c>
      <c r="B87" t="s">
        <v>30</v>
      </c>
      <c r="C87" t="s">
        <v>1773</v>
      </c>
      <c r="D87" t="s">
        <v>1774</v>
      </c>
    </row>
    <row r="88" spans="8:8">
      <c r="A88">
        <v>87.0</v>
      </c>
      <c r="B88" t="s">
        <v>30</v>
      </c>
      <c r="C88" t="s">
        <v>1775</v>
      </c>
      <c r="D88" t="s">
        <v>1776</v>
      </c>
    </row>
    <row r="89" spans="8:8">
      <c r="A89">
        <v>88.0</v>
      </c>
      <c r="B89" t="s">
        <v>30</v>
      </c>
      <c r="C89" t="s">
        <v>1777</v>
      </c>
      <c r="D89" t="s">
        <v>1778</v>
      </c>
    </row>
    <row r="90" spans="8:8">
      <c r="A90">
        <v>89.0</v>
      </c>
      <c r="B90" t="s">
        <v>30</v>
      </c>
      <c r="C90" t="s">
        <v>1779</v>
      </c>
      <c r="D90" t="s">
        <v>1780</v>
      </c>
    </row>
    <row r="91" spans="8:8">
      <c r="A91">
        <v>90.0</v>
      </c>
      <c r="B91" t="s">
        <v>30</v>
      </c>
      <c r="C91" t="s">
        <v>267</v>
      </c>
      <c r="D91" t="s">
        <v>1781</v>
      </c>
    </row>
    <row r="92" spans="8:8">
      <c r="A92">
        <v>91.0</v>
      </c>
      <c r="B92" t="s">
        <v>30</v>
      </c>
      <c r="C92" t="s">
        <v>1782</v>
      </c>
      <c r="D92" t="s">
        <v>1783</v>
      </c>
    </row>
    <row r="93" spans="8:8">
      <c r="A93">
        <v>92.0</v>
      </c>
      <c r="B93" t="s">
        <v>30</v>
      </c>
      <c r="C93" t="s">
        <v>1784</v>
      </c>
      <c r="D93" t="s">
        <v>1785</v>
      </c>
    </row>
    <row r="94" spans="8:8">
      <c r="A94">
        <v>93.0</v>
      </c>
      <c r="B94" t="s">
        <v>33</v>
      </c>
      <c r="C94" t="s">
        <v>1786</v>
      </c>
      <c r="D94" t="s">
        <v>1787</v>
      </c>
    </row>
    <row r="95" spans="8:8">
      <c r="A95">
        <v>94.0</v>
      </c>
      <c r="B95" t="s">
        <v>33</v>
      </c>
      <c r="C95" t="s">
        <v>1788</v>
      </c>
      <c r="D95" t="s">
        <v>1789</v>
      </c>
    </row>
    <row r="96" spans="8:8">
      <c r="A96">
        <v>95.0</v>
      </c>
      <c r="B96" t="s">
        <v>33</v>
      </c>
      <c r="C96" t="s">
        <v>1790</v>
      </c>
      <c r="D96" t="s">
        <v>1791</v>
      </c>
    </row>
    <row r="97" spans="8:8">
      <c r="A97">
        <v>96.0</v>
      </c>
      <c r="B97" t="s">
        <v>33</v>
      </c>
      <c r="C97" t="s">
        <v>1792</v>
      </c>
      <c r="D97" t="s">
        <v>1793</v>
      </c>
    </row>
    <row r="98" spans="8:8">
      <c r="A98">
        <v>97.0</v>
      </c>
      <c r="B98" t="s">
        <v>33</v>
      </c>
      <c r="C98" t="s">
        <v>1794</v>
      </c>
      <c r="D98" t="s">
        <v>1795</v>
      </c>
    </row>
    <row r="99" spans="8:8">
      <c r="A99">
        <v>98.0</v>
      </c>
      <c r="B99" t="s">
        <v>33</v>
      </c>
      <c r="C99" t="s">
        <v>1796</v>
      </c>
      <c r="D99" t="s">
        <v>1797</v>
      </c>
    </row>
    <row r="100" spans="8:8">
      <c r="A100">
        <v>99.0</v>
      </c>
      <c r="B100" t="s">
        <v>33</v>
      </c>
      <c r="C100" t="s">
        <v>1798</v>
      </c>
      <c r="D100" t="s">
        <v>1799</v>
      </c>
    </row>
    <row r="101" spans="8:8">
      <c r="A101">
        <v>100.0</v>
      </c>
      <c r="B101" t="s">
        <v>33</v>
      </c>
      <c r="C101" t="s">
        <v>1800</v>
      </c>
      <c r="D101" t="s">
        <v>1801</v>
      </c>
    </row>
    <row r="102" spans="8:8">
      <c r="A102">
        <v>101.0</v>
      </c>
      <c r="B102" t="s">
        <v>33</v>
      </c>
      <c r="C102" t="s">
        <v>1802</v>
      </c>
      <c r="D102" t="s">
        <v>1803</v>
      </c>
    </row>
    <row r="103" spans="8:8">
      <c r="A103">
        <v>102.0</v>
      </c>
      <c r="B103" t="s">
        <v>33</v>
      </c>
      <c r="C103" t="s">
        <v>1528</v>
      </c>
      <c r="D103" t="s">
        <v>1804</v>
      </c>
    </row>
    <row r="104" spans="8:8">
      <c r="A104">
        <v>103.0</v>
      </c>
      <c r="B104" t="s">
        <v>33</v>
      </c>
      <c r="C104" t="s">
        <v>1805</v>
      </c>
      <c r="D104" t="s">
        <v>1806</v>
      </c>
    </row>
    <row r="105" spans="8:8">
      <c r="A105">
        <v>104.0</v>
      </c>
      <c r="B105" t="s">
        <v>33</v>
      </c>
      <c r="C105" t="s">
        <v>1807</v>
      </c>
      <c r="D105" t="s">
        <v>1808</v>
      </c>
    </row>
    <row r="106" spans="8:8">
      <c r="A106">
        <v>105.0</v>
      </c>
      <c r="B106" t="s">
        <v>33</v>
      </c>
      <c r="C106" t="s">
        <v>1809</v>
      </c>
      <c r="D106" t="s">
        <v>1810</v>
      </c>
    </row>
    <row r="107" spans="8:8">
      <c r="A107">
        <v>106.0</v>
      </c>
      <c r="B107" t="s">
        <v>33</v>
      </c>
      <c r="C107" t="s">
        <v>1811</v>
      </c>
      <c r="D107" t="s">
        <v>1812</v>
      </c>
    </row>
    <row r="108" spans="8:8">
      <c r="A108">
        <v>107.0</v>
      </c>
      <c r="B108" t="s">
        <v>33</v>
      </c>
      <c r="C108" t="s">
        <v>1813</v>
      </c>
      <c r="D108" t="s">
        <v>1814</v>
      </c>
    </row>
    <row r="109" spans="8:8">
      <c r="A109">
        <v>108.0</v>
      </c>
      <c r="B109" t="s">
        <v>33</v>
      </c>
      <c r="C109" t="s">
        <v>1815</v>
      </c>
      <c r="D109" t="s">
        <v>1816</v>
      </c>
    </row>
    <row r="110" spans="8:8">
      <c r="A110">
        <v>109.0</v>
      </c>
      <c r="B110" t="s">
        <v>33</v>
      </c>
      <c r="C110" t="s">
        <v>1817</v>
      </c>
      <c r="D110" t="s">
        <v>1818</v>
      </c>
    </row>
    <row r="111" spans="8:8">
      <c r="A111">
        <v>110.0</v>
      </c>
      <c r="B111" t="s">
        <v>33</v>
      </c>
      <c r="C111" t="s">
        <v>1819</v>
      </c>
      <c r="D111" t="s">
        <v>1820</v>
      </c>
    </row>
    <row r="112" spans="8:8">
      <c r="A112">
        <v>111.0</v>
      </c>
      <c r="B112" t="s">
        <v>33</v>
      </c>
      <c r="C112" t="s">
        <v>1821</v>
      </c>
      <c r="D112" t="s">
        <v>1822</v>
      </c>
    </row>
    <row r="113" spans="8:8">
      <c r="A113">
        <v>112.0</v>
      </c>
      <c r="B113" t="s">
        <v>33</v>
      </c>
      <c r="C113" t="s">
        <v>1823</v>
      </c>
      <c r="D113" t="s">
        <v>1824</v>
      </c>
    </row>
    <row r="114" spans="8:8">
      <c r="A114">
        <v>113.0</v>
      </c>
      <c r="B114" t="s">
        <v>33</v>
      </c>
      <c r="C114" t="s">
        <v>1825</v>
      </c>
      <c r="D114" t="s">
        <v>1826</v>
      </c>
    </row>
    <row r="115" spans="8:8">
      <c r="A115">
        <v>114.0</v>
      </c>
      <c r="B115" t="s">
        <v>33</v>
      </c>
      <c r="C115" t="s">
        <v>1827</v>
      </c>
      <c r="D115" t="s">
        <v>1828</v>
      </c>
    </row>
    <row r="116" spans="8:8">
      <c r="A116">
        <v>115.0</v>
      </c>
      <c r="B116" t="s">
        <v>33</v>
      </c>
      <c r="C116" t="s">
        <v>1829</v>
      </c>
      <c r="D116" t="s">
        <v>1830</v>
      </c>
    </row>
    <row r="117" spans="8:8">
      <c r="A117">
        <v>116.0</v>
      </c>
      <c r="B117" t="s">
        <v>33</v>
      </c>
      <c r="C117" t="s">
        <v>1831</v>
      </c>
      <c r="D117" t="s">
        <v>1832</v>
      </c>
    </row>
    <row r="118" spans="8:8">
      <c r="A118">
        <v>117.0</v>
      </c>
      <c r="B118" t="s">
        <v>33</v>
      </c>
      <c r="C118" t="s">
        <v>1833</v>
      </c>
      <c r="D118" t="s">
        <v>1834</v>
      </c>
    </row>
    <row r="119" spans="8:8">
      <c r="A119">
        <v>118.0</v>
      </c>
      <c r="B119" t="s">
        <v>33</v>
      </c>
      <c r="C119" t="s">
        <v>1835</v>
      </c>
      <c r="D119" t="s">
        <v>1836</v>
      </c>
    </row>
    <row r="120" spans="8:8">
      <c r="A120">
        <v>119.0</v>
      </c>
      <c r="B120" t="s">
        <v>33</v>
      </c>
      <c r="C120" t="s">
        <v>1837</v>
      </c>
      <c r="D120" t="s">
        <v>1838</v>
      </c>
    </row>
    <row r="121" spans="8:8">
      <c r="A121">
        <v>120.0</v>
      </c>
      <c r="B121" t="s">
        <v>33</v>
      </c>
      <c r="C121" t="s">
        <v>1839</v>
      </c>
      <c r="D121" t="s">
        <v>1840</v>
      </c>
    </row>
    <row r="122" spans="8:8">
      <c r="A122">
        <v>121.0</v>
      </c>
      <c r="B122" t="s">
        <v>33</v>
      </c>
      <c r="C122" t="s">
        <v>1841</v>
      </c>
      <c r="D122" t="s">
        <v>1842</v>
      </c>
    </row>
    <row r="123" spans="8:8">
      <c r="A123">
        <v>122.0</v>
      </c>
      <c r="B123" t="s">
        <v>33</v>
      </c>
      <c r="C123" t="s">
        <v>1843</v>
      </c>
      <c r="D123" t="s">
        <v>1844</v>
      </c>
    </row>
    <row r="124" spans="8:8">
      <c r="A124">
        <v>123.0</v>
      </c>
      <c r="B124" t="s">
        <v>33</v>
      </c>
      <c r="C124" t="s">
        <v>1845</v>
      </c>
      <c r="D124" t="s">
        <v>1846</v>
      </c>
    </row>
    <row r="125" spans="8:8">
      <c r="A125">
        <v>124.0</v>
      </c>
      <c r="B125" t="s">
        <v>33</v>
      </c>
      <c r="C125" t="s">
        <v>1847</v>
      </c>
      <c r="D125" t="s">
        <v>1848</v>
      </c>
    </row>
    <row r="126" spans="8:8">
      <c r="A126">
        <v>125.0</v>
      </c>
      <c r="B126" t="s">
        <v>33</v>
      </c>
      <c r="C126" t="s">
        <v>1849</v>
      </c>
      <c r="D126" t="s">
        <v>1850</v>
      </c>
    </row>
    <row r="127" spans="8:8">
      <c r="A127">
        <v>126.0</v>
      </c>
      <c r="B127" t="s">
        <v>42</v>
      </c>
      <c r="C127" t="s">
        <v>257</v>
      </c>
      <c r="D127" t="s">
        <v>1851</v>
      </c>
    </row>
    <row r="128" spans="8:8">
      <c r="A128">
        <v>127.0</v>
      </c>
      <c r="B128" t="s">
        <v>42</v>
      </c>
      <c r="C128" t="s">
        <v>1852</v>
      </c>
      <c r="D128" t="s">
        <v>1853</v>
      </c>
    </row>
    <row r="129" spans="8:8">
      <c r="A129">
        <v>128.0</v>
      </c>
      <c r="B129" t="s">
        <v>42</v>
      </c>
      <c r="C129" t="s">
        <v>1854</v>
      </c>
      <c r="D129" t="s">
        <v>1855</v>
      </c>
    </row>
    <row r="130" spans="8:8">
      <c r="A130">
        <v>129.0</v>
      </c>
      <c r="B130" t="s">
        <v>42</v>
      </c>
      <c r="C130" t="s">
        <v>1856</v>
      </c>
      <c r="D130" t="s">
        <v>1857</v>
      </c>
    </row>
    <row r="131" spans="8:8">
      <c r="A131">
        <v>130.0</v>
      </c>
      <c r="B131" t="s">
        <v>42</v>
      </c>
      <c r="C131" t="s">
        <v>1858</v>
      </c>
      <c r="D131" t="s">
        <v>1859</v>
      </c>
    </row>
    <row r="132" spans="8:8">
      <c r="A132">
        <v>131.0</v>
      </c>
      <c r="B132" t="s">
        <v>42</v>
      </c>
      <c r="C132" t="s">
        <v>1860</v>
      </c>
      <c r="D132" t="s">
        <v>1861</v>
      </c>
    </row>
    <row r="133" spans="8:8">
      <c r="A133">
        <v>132.0</v>
      </c>
      <c r="B133" t="s">
        <v>42</v>
      </c>
      <c r="C133" t="s">
        <v>1862</v>
      </c>
      <c r="D133" t="s">
        <v>1863</v>
      </c>
    </row>
    <row r="134" spans="8:8">
      <c r="A134">
        <v>133.0</v>
      </c>
      <c r="B134" t="s">
        <v>42</v>
      </c>
      <c r="C134" t="s">
        <v>1864</v>
      </c>
      <c r="D134" t="s">
        <v>1865</v>
      </c>
    </row>
    <row r="135" spans="8:8">
      <c r="A135">
        <v>134.0</v>
      </c>
      <c r="B135" t="s">
        <v>42</v>
      </c>
      <c r="C135" t="s">
        <v>1486</v>
      </c>
      <c r="D135" t="s">
        <v>1866</v>
      </c>
    </row>
    <row r="136" spans="8:8">
      <c r="A136">
        <v>135.0</v>
      </c>
      <c r="B136" t="s">
        <v>42</v>
      </c>
      <c r="C136" t="s">
        <v>1867</v>
      </c>
      <c r="D136" t="s">
        <v>1868</v>
      </c>
    </row>
    <row r="137" spans="8:8">
      <c r="A137">
        <v>136.0</v>
      </c>
      <c r="B137" t="s">
        <v>42</v>
      </c>
      <c r="C137" t="s">
        <v>1869</v>
      </c>
      <c r="D137" t="s">
        <v>1870</v>
      </c>
    </row>
    <row r="138" spans="8:8">
      <c r="A138">
        <v>137.0</v>
      </c>
      <c r="B138" t="s">
        <v>42</v>
      </c>
      <c r="C138" t="s">
        <v>1871</v>
      </c>
      <c r="D138" t="s">
        <v>1872</v>
      </c>
    </row>
    <row r="139" spans="8:8">
      <c r="A139">
        <v>138.0</v>
      </c>
      <c r="B139" t="s">
        <v>36</v>
      </c>
      <c r="C139" t="s">
        <v>1873</v>
      </c>
      <c r="D139" t="s">
        <v>1874</v>
      </c>
    </row>
    <row r="140" spans="8:8">
      <c r="A140">
        <v>139.0</v>
      </c>
      <c r="B140" t="s">
        <v>36</v>
      </c>
      <c r="C140" t="s">
        <v>1875</v>
      </c>
      <c r="D140" t="s">
        <v>1876</v>
      </c>
    </row>
    <row r="141" spans="8:8">
      <c r="A141">
        <v>140.0</v>
      </c>
      <c r="B141" t="s">
        <v>36</v>
      </c>
      <c r="C141" t="s">
        <v>1877</v>
      </c>
      <c r="D141" t="s">
        <v>1878</v>
      </c>
    </row>
    <row r="142" spans="8:8">
      <c r="A142">
        <v>141.0</v>
      </c>
      <c r="B142" t="s">
        <v>36</v>
      </c>
      <c r="C142" t="s">
        <v>1879</v>
      </c>
      <c r="D142" t="s">
        <v>1880</v>
      </c>
    </row>
    <row r="143" spans="8:8">
      <c r="A143">
        <v>142.0</v>
      </c>
      <c r="B143" t="s">
        <v>36</v>
      </c>
      <c r="C143" t="s">
        <v>1881</v>
      </c>
      <c r="D143" t="s">
        <v>1882</v>
      </c>
    </row>
    <row r="144" spans="8:8">
      <c r="A144">
        <v>143.0</v>
      </c>
      <c r="B144" t="s">
        <v>36</v>
      </c>
      <c r="C144" t="s">
        <v>1883</v>
      </c>
      <c r="D144" t="s">
        <v>1884</v>
      </c>
    </row>
    <row r="145" spans="8:8">
      <c r="A145">
        <v>144.0</v>
      </c>
      <c r="B145" t="s">
        <v>36</v>
      </c>
      <c r="C145" t="s">
        <v>1885</v>
      </c>
      <c r="D145" t="s">
        <v>1886</v>
      </c>
    </row>
    <row r="146" spans="8:8">
      <c r="A146">
        <v>145.0</v>
      </c>
      <c r="B146" t="s">
        <v>36</v>
      </c>
      <c r="C146" t="s">
        <v>1887</v>
      </c>
      <c r="D146" t="s">
        <v>1888</v>
      </c>
    </row>
    <row r="147" spans="8:8">
      <c r="A147">
        <v>146.0</v>
      </c>
      <c r="B147" t="s">
        <v>36</v>
      </c>
      <c r="C147" t="s">
        <v>1889</v>
      </c>
      <c r="D147" t="s">
        <v>1890</v>
      </c>
    </row>
    <row r="148" spans="8:8">
      <c r="A148">
        <v>147.0</v>
      </c>
      <c r="B148" t="s">
        <v>36</v>
      </c>
      <c r="C148" t="s">
        <v>1891</v>
      </c>
      <c r="D148" t="s">
        <v>1892</v>
      </c>
    </row>
    <row r="149" spans="8:8">
      <c r="A149">
        <v>148.0</v>
      </c>
      <c r="B149" t="s">
        <v>36</v>
      </c>
      <c r="C149" t="s">
        <v>1893</v>
      </c>
      <c r="D149" t="s">
        <v>1894</v>
      </c>
    </row>
    <row r="150" spans="8:8">
      <c r="A150">
        <v>149.0</v>
      </c>
      <c r="B150" t="s">
        <v>36</v>
      </c>
      <c r="C150" t="s">
        <v>462</v>
      </c>
      <c r="D150" t="s">
        <v>1895</v>
      </c>
    </row>
    <row r="151" spans="8:8">
      <c r="A151">
        <v>150.0</v>
      </c>
      <c r="B151" t="s">
        <v>36</v>
      </c>
      <c r="C151" t="s">
        <v>1896</v>
      </c>
      <c r="D151" t="s">
        <v>1897</v>
      </c>
    </row>
    <row r="152" spans="8:8">
      <c r="A152">
        <v>151.0</v>
      </c>
      <c r="B152" t="s">
        <v>36</v>
      </c>
      <c r="C152" t="s">
        <v>1898</v>
      </c>
      <c r="D152" t="s">
        <v>1899</v>
      </c>
    </row>
    <row r="153" spans="8:8">
      <c r="A153">
        <v>152.0</v>
      </c>
      <c r="B153" t="s">
        <v>36</v>
      </c>
      <c r="C153" t="s">
        <v>1900</v>
      </c>
      <c r="D153" t="s">
        <v>1901</v>
      </c>
    </row>
    <row r="154" spans="8:8">
      <c r="A154">
        <v>153.0</v>
      </c>
      <c r="B154" t="s">
        <v>36</v>
      </c>
      <c r="C154" t="s">
        <v>1902</v>
      </c>
      <c r="D154" t="s">
        <v>1903</v>
      </c>
    </row>
    <row r="155" spans="8:8">
      <c r="A155">
        <v>154.0</v>
      </c>
      <c r="B155" t="s">
        <v>36</v>
      </c>
      <c r="C155" t="s">
        <v>1904</v>
      </c>
      <c r="D155" t="s">
        <v>1905</v>
      </c>
    </row>
    <row r="156" spans="8:8">
      <c r="A156">
        <v>155.0</v>
      </c>
      <c r="B156" t="s">
        <v>36</v>
      </c>
      <c r="C156" t="s">
        <v>1906</v>
      </c>
      <c r="D156" t="s">
        <v>1907</v>
      </c>
    </row>
    <row r="157" spans="8:8">
      <c r="A157">
        <v>156.0</v>
      </c>
      <c r="B157" t="s">
        <v>36</v>
      </c>
      <c r="C157" t="s">
        <v>1908</v>
      </c>
      <c r="D157" t="s">
        <v>1909</v>
      </c>
    </row>
    <row r="158" spans="8:8">
      <c r="A158">
        <v>157.0</v>
      </c>
      <c r="B158" t="s">
        <v>36</v>
      </c>
      <c r="C158" t="s">
        <v>1910</v>
      </c>
      <c r="D158" t="s">
        <v>1911</v>
      </c>
    </row>
    <row r="159" spans="8:8">
      <c r="A159">
        <v>158.0</v>
      </c>
      <c r="B159" t="s">
        <v>36</v>
      </c>
      <c r="C159" t="s">
        <v>1912</v>
      </c>
      <c r="D159" t="s">
        <v>1913</v>
      </c>
    </row>
    <row r="160" spans="8:8">
      <c r="A160">
        <v>159.0</v>
      </c>
      <c r="B160" t="s">
        <v>36</v>
      </c>
      <c r="C160" t="s">
        <v>1914</v>
      </c>
      <c r="D160" t="s">
        <v>1915</v>
      </c>
    </row>
    <row r="161" spans="8:8">
      <c r="A161">
        <v>160.0</v>
      </c>
      <c r="B161" t="s">
        <v>36</v>
      </c>
      <c r="C161" t="s">
        <v>1916</v>
      </c>
      <c r="D161" t="s">
        <v>1917</v>
      </c>
    </row>
    <row r="162" spans="8:8">
      <c r="A162">
        <v>161.0</v>
      </c>
      <c r="B162" t="s">
        <v>36</v>
      </c>
      <c r="C162" t="s">
        <v>1918</v>
      </c>
      <c r="D162" t="s">
        <v>1919</v>
      </c>
    </row>
    <row r="163" spans="8:8">
      <c r="A163">
        <v>162.0</v>
      </c>
      <c r="B163" t="s">
        <v>36</v>
      </c>
      <c r="C163" t="s">
        <v>1920</v>
      </c>
      <c r="D163" t="s">
        <v>1921</v>
      </c>
    </row>
    <row r="164" spans="8:8">
      <c r="A164">
        <v>163.0</v>
      </c>
      <c r="B164" t="s">
        <v>36</v>
      </c>
      <c r="C164" t="s">
        <v>1922</v>
      </c>
      <c r="D164" t="s">
        <v>1923</v>
      </c>
    </row>
    <row r="165" spans="8:8">
      <c r="A165">
        <v>164.0</v>
      </c>
      <c r="B165" t="s">
        <v>36</v>
      </c>
      <c r="C165" t="s">
        <v>1924</v>
      </c>
      <c r="D165" t="s">
        <v>1925</v>
      </c>
    </row>
    <row r="166" spans="8:8">
      <c r="A166">
        <v>165.0</v>
      </c>
      <c r="B166" t="s">
        <v>36</v>
      </c>
      <c r="C166" t="s">
        <v>1926</v>
      </c>
      <c r="D166" t="s">
        <v>1927</v>
      </c>
    </row>
    <row r="167" spans="8:8">
      <c r="A167">
        <v>166.0</v>
      </c>
      <c r="B167" t="s">
        <v>36</v>
      </c>
      <c r="C167" t="s">
        <v>1928</v>
      </c>
      <c r="D167" t="s">
        <v>1929</v>
      </c>
    </row>
    <row r="168" spans="8:8">
      <c r="A168">
        <v>167.0</v>
      </c>
      <c r="B168" t="s">
        <v>36</v>
      </c>
      <c r="C168" t="s">
        <v>1930</v>
      </c>
      <c r="D168" t="s">
        <v>1931</v>
      </c>
    </row>
    <row r="169" spans="8:8">
      <c r="A169">
        <v>168.0</v>
      </c>
      <c r="B169" t="s">
        <v>36</v>
      </c>
      <c r="C169" t="s">
        <v>1932</v>
      </c>
      <c r="D169" t="s">
        <v>1933</v>
      </c>
    </row>
    <row r="170" spans="8:8">
      <c r="A170">
        <v>169.0</v>
      </c>
      <c r="B170" t="s">
        <v>36</v>
      </c>
      <c r="C170" t="s">
        <v>1934</v>
      </c>
      <c r="D170" t="s">
        <v>1935</v>
      </c>
    </row>
    <row r="171" spans="8:8">
      <c r="A171">
        <v>170.0</v>
      </c>
      <c r="B171" t="s">
        <v>36</v>
      </c>
      <c r="C171" t="s">
        <v>1936</v>
      </c>
      <c r="D171" t="s">
        <v>1937</v>
      </c>
    </row>
    <row r="172" spans="8:8">
      <c r="A172">
        <v>171.0</v>
      </c>
      <c r="B172" t="s">
        <v>36</v>
      </c>
      <c r="C172" t="s">
        <v>1938</v>
      </c>
      <c r="D172" t="s">
        <v>1939</v>
      </c>
    </row>
    <row r="173" spans="8:8">
      <c r="A173">
        <v>172.0</v>
      </c>
      <c r="B173" t="s">
        <v>36</v>
      </c>
      <c r="C173" t="s">
        <v>563</v>
      </c>
      <c r="D173" t="s">
        <v>1940</v>
      </c>
    </row>
    <row r="174" spans="8:8">
      <c r="A174">
        <v>173.0</v>
      </c>
      <c r="B174" t="s">
        <v>36</v>
      </c>
      <c r="C174" t="s">
        <v>472</v>
      </c>
      <c r="D174" t="s">
        <v>1941</v>
      </c>
    </row>
    <row r="175" spans="8:8">
      <c r="A175">
        <v>174.0</v>
      </c>
      <c r="B175" t="s">
        <v>36</v>
      </c>
      <c r="C175" t="s">
        <v>1942</v>
      </c>
      <c r="D175" t="s">
        <v>1943</v>
      </c>
    </row>
    <row r="176" spans="8:8">
      <c r="A176">
        <v>175.0</v>
      </c>
      <c r="B176" t="s">
        <v>36</v>
      </c>
      <c r="C176" t="s">
        <v>1944</v>
      </c>
      <c r="D176" t="s">
        <v>1945</v>
      </c>
    </row>
    <row r="177" spans="8:8" ht="40.5">
      <c r="A177">
        <v>176.0</v>
      </c>
      <c r="B177" t="s">
        <v>36</v>
      </c>
      <c r="C177" t="s">
        <v>1946</v>
      </c>
      <c r="D177" s="3" t="s">
        <v>1947</v>
      </c>
    </row>
    <row r="178" spans="8:8">
      <c r="A178">
        <v>177.0</v>
      </c>
      <c r="B178" t="s">
        <v>36</v>
      </c>
      <c r="C178" t="s">
        <v>1948</v>
      </c>
      <c r="D178" t="s">
        <v>1949</v>
      </c>
    </row>
    <row r="179" spans="8:8">
      <c r="A179">
        <v>178.0</v>
      </c>
      <c r="B179" t="s">
        <v>36</v>
      </c>
      <c r="C179" t="s">
        <v>1950</v>
      </c>
      <c r="D179" t="s">
        <v>1951</v>
      </c>
    </row>
    <row r="180" spans="8:8">
      <c r="A180">
        <v>179.0</v>
      </c>
      <c r="B180" t="s">
        <v>36</v>
      </c>
      <c r="C180" t="s">
        <v>643</v>
      </c>
      <c r="D180" t="s">
        <v>1952</v>
      </c>
    </row>
    <row r="181" spans="8:8">
      <c r="A181">
        <v>180.0</v>
      </c>
      <c r="B181" t="s">
        <v>36</v>
      </c>
      <c r="C181" t="s">
        <v>1953</v>
      </c>
      <c r="D181" t="s">
        <v>1954</v>
      </c>
    </row>
    <row r="182" spans="8:8">
      <c r="A182">
        <v>181.0</v>
      </c>
      <c r="B182" t="s">
        <v>36</v>
      </c>
      <c r="C182" t="s">
        <v>1955</v>
      </c>
      <c r="D182" t="s">
        <v>1956</v>
      </c>
    </row>
    <row r="183" spans="8:8">
      <c r="A183">
        <v>182.0</v>
      </c>
      <c r="B183" t="s">
        <v>36</v>
      </c>
      <c r="C183" t="s">
        <v>1957</v>
      </c>
      <c r="D183" t="s">
        <v>1958</v>
      </c>
    </row>
    <row r="184" spans="8:8">
      <c r="A184">
        <v>183.0</v>
      </c>
      <c r="B184" t="s">
        <v>36</v>
      </c>
      <c r="C184" t="s">
        <v>1959</v>
      </c>
      <c r="D184" t="s">
        <v>1960</v>
      </c>
    </row>
    <row r="185" spans="8:8">
      <c r="A185">
        <v>184.0</v>
      </c>
      <c r="B185" t="s">
        <v>36</v>
      </c>
      <c r="C185" t="s">
        <v>1961</v>
      </c>
      <c r="D185" t="s">
        <v>1962</v>
      </c>
    </row>
    <row r="186" spans="8:8">
      <c r="A186">
        <v>185.0</v>
      </c>
      <c r="B186" t="s">
        <v>36</v>
      </c>
      <c r="C186" t="s">
        <v>1963</v>
      </c>
      <c r="D186" t="s">
        <v>1964</v>
      </c>
    </row>
    <row r="187" spans="8:8">
      <c r="A187">
        <v>186.0</v>
      </c>
      <c r="B187" t="s">
        <v>36</v>
      </c>
      <c r="C187" t="s">
        <v>1965</v>
      </c>
      <c r="D187" t="s">
        <v>1966</v>
      </c>
    </row>
    <row r="188" spans="8:8">
      <c r="A188">
        <v>187.0</v>
      </c>
      <c r="B188" t="s">
        <v>36</v>
      </c>
      <c r="C188" t="s">
        <v>1967</v>
      </c>
      <c r="D188" t="s">
        <v>1968</v>
      </c>
    </row>
    <row r="189" spans="8:8">
      <c r="A189">
        <v>188.0</v>
      </c>
      <c r="B189" t="s">
        <v>36</v>
      </c>
      <c r="C189" t="s">
        <v>1969</v>
      </c>
      <c r="D189" t="s">
        <v>1970</v>
      </c>
    </row>
    <row r="190" spans="8:8">
      <c r="A190">
        <v>189.0</v>
      </c>
      <c r="B190" t="s">
        <v>36</v>
      </c>
      <c r="C190" t="s">
        <v>1971</v>
      </c>
      <c r="D190" t="s">
        <v>1972</v>
      </c>
    </row>
    <row r="191" spans="8:8">
      <c r="A191">
        <v>190.0</v>
      </c>
      <c r="B191" t="s">
        <v>36</v>
      </c>
      <c r="C191" t="s">
        <v>1973</v>
      </c>
      <c r="D191" t="s">
        <v>1974</v>
      </c>
    </row>
    <row r="192" spans="8:8">
      <c r="A192">
        <v>191.0</v>
      </c>
      <c r="B192" t="s">
        <v>36</v>
      </c>
      <c r="C192" t="s">
        <v>1975</v>
      </c>
      <c r="D192" t="s">
        <v>1976</v>
      </c>
    </row>
    <row r="193" spans="8:8">
      <c r="A193">
        <v>192.0</v>
      </c>
      <c r="B193" t="s">
        <v>36</v>
      </c>
      <c r="C193" t="s">
        <v>1977</v>
      </c>
      <c r="D193" t="s">
        <v>1978</v>
      </c>
    </row>
    <row r="194" spans="8:8">
      <c r="A194">
        <v>193.0</v>
      </c>
      <c r="B194" t="s">
        <v>36</v>
      </c>
      <c r="C194" t="s">
        <v>1979</v>
      </c>
      <c r="D194" t="s">
        <v>1980</v>
      </c>
    </row>
    <row r="195" spans="8:8">
      <c r="A195">
        <v>194.0</v>
      </c>
      <c r="B195" t="s">
        <v>36</v>
      </c>
      <c r="C195" t="s">
        <v>1981</v>
      </c>
      <c r="D195" t="s">
        <v>1982</v>
      </c>
    </row>
    <row r="196" spans="8:8">
      <c r="A196">
        <v>195.0</v>
      </c>
      <c r="B196" t="s">
        <v>36</v>
      </c>
      <c r="C196" t="s">
        <v>1983</v>
      </c>
      <c r="D196" t="s">
        <v>1984</v>
      </c>
    </row>
    <row r="197" spans="8:8">
      <c r="A197">
        <v>196.0</v>
      </c>
      <c r="B197" t="s">
        <v>36</v>
      </c>
      <c r="C197" t="s">
        <v>1985</v>
      </c>
      <c r="D197" t="s">
        <v>1986</v>
      </c>
    </row>
    <row r="198" spans="8:8">
      <c r="A198">
        <v>197.0</v>
      </c>
      <c r="B198" t="s">
        <v>36</v>
      </c>
      <c r="C198" t="s">
        <v>1987</v>
      </c>
      <c r="D198" t="s">
        <v>1988</v>
      </c>
    </row>
    <row r="199" spans="8:8">
      <c r="A199">
        <v>198.0</v>
      </c>
      <c r="B199" t="s">
        <v>36</v>
      </c>
      <c r="C199" t="s">
        <v>1989</v>
      </c>
      <c r="D199" t="s">
        <v>1990</v>
      </c>
    </row>
    <row r="200" spans="8:8">
      <c r="A200">
        <v>199.0</v>
      </c>
      <c r="B200" t="s">
        <v>36</v>
      </c>
      <c r="C200" t="s">
        <v>1991</v>
      </c>
      <c r="D200" t="s">
        <v>1992</v>
      </c>
    </row>
    <row r="201" spans="8:8">
      <c r="A201">
        <v>200.0</v>
      </c>
      <c r="B201" t="s">
        <v>36</v>
      </c>
      <c r="C201" t="s">
        <v>1993</v>
      </c>
      <c r="D201" t="s">
        <v>1994</v>
      </c>
    </row>
    <row r="202" spans="8:8">
      <c r="A202">
        <v>201.0</v>
      </c>
      <c r="B202" t="s">
        <v>36</v>
      </c>
      <c r="C202" t="s">
        <v>1995</v>
      </c>
      <c r="D202" t="s">
        <v>1996</v>
      </c>
    </row>
    <row r="203" spans="8:8">
      <c r="A203">
        <v>202.0</v>
      </c>
      <c r="B203" t="s">
        <v>36</v>
      </c>
      <c r="C203" t="s">
        <v>484</v>
      </c>
      <c r="D203" t="s">
        <v>1997</v>
      </c>
    </row>
    <row r="204" spans="8:8">
      <c r="A204">
        <v>203.0</v>
      </c>
      <c r="B204" t="s">
        <v>36</v>
      </c>
      <c r="C204" t="s">
        <v>1998</v>
      </c>
      <c r="D204" t="s">
        <v>1999</v>
      </c>
    </row>
    <row r="205" spans="8:8">
      <c r="A205">
        <v>204.0</v>
      </c>
      <c r="B205" t="s">
        <v>36</v>
      </c>
      <c r="C205" t="s">
        <v>2000</v>
      </c>
      <c r="D205" t="s">
        <v>2001</v>
      </c>
    </row>
    <row r="206" spans="8:8">
      <c r="A206">
        <v>205.0</v>
      </c>
      <c r="B206" t="s">
        <v>36</v>
      </c>
      <c r="C206" t="s">
        <v>2002</v>
      </c>
      <c r="D206" t="s">
        <v>2003</v>
      </c>
    </row>
    <row r="207" spans="8:8">
      <c r="A207">
        <v>206.0</v>
      </c>
      <c r="B207" t="s">
        <v>36</v>
      </c>
      <c r="C207" t="s">
        <v>2004</v>
      </c>
      <c r="D207" t="s">
        <v>2005</v>
      </c>
    </row>
    <row r="208" spans="8:8">
      <c r="A208">
        <v>207.0</v>
      </c>
      <c r="B208" t="s">
        <v>36</v>
      </c>
      <c r="C208" t="s">
        <v>2006</v>
      </c>
      <c r="D208" t="s">
        <v>2007</v>
      </c>
    </row>
    <row r="209" spans="8:8">
      <c r="A209">
        <v>208.0</v>
      </c>
      <c r="B209" t="s">
        <v>36</v>
      </c>
      <c r="C209" t="s">
        <v>2008</v>
      </c>
      <c r="D209" t="s">
        <v>2009</v>
      </c>
    </row>
    <row r="210" spans="8:8">
      <c r="A210">
        <v>209.0</v>
      </c>
      <c r="B210" t="s">
        <v>36</v>
      </c>
      <c r="C210" t="s">
        <v>2010</v>
      </c>
      <c r="D210" t="s">
        <v>2011</v>
      </c>
    </row>
    <row r="211" spans="8:8">
      <c r="A211">
        <v>210.0</v>
      </c>
      <c r="B211" t="s">
        <v>36</v>
      </c>
      <c r="C211" t="s">
        <v>2012</v>
      </c>
      <c r="D211" t="s">
        <v>2013</v>
      </c>
    </row>
    <row r="212" spans="8:8">
      <c r="A212">
        <v>211.0</v>
      </c>
      <c r="B212" t="s">
        <v>36</v>
      </c>
      <c r="C212" t="s">
        <v>2014</v>
      </c>
      <c r="D212" t="s">
        <v>2015</v>
      </c>
    </row>
    <row r="213" spans="8:8">
      <c r="A213">
        <v>212.0</v>
      </c>
      <c r="B213" t="s">
        <v>36</v>
      </c>
      <c r="C213" t="s">
        <v>2016</v>
      </c>
      <c r="D213" t="s">
        <v>2017</v>
      </c>
    </row>
    <row r="214" spans="8:8">
      <c r="A214">
        <v>213.0</v>
      </c>
      <c r="B214" t="s">
        <v>36</v>
      </c>
      <c r="C214" t="s">
        <v>2018</v>
      </c>
      <c r="D214" t="s">
        <v>2019</v>
      </c>
    </row>
    <row r="215" spans="8:8">
      <c r="A215">
        <v>214.0</v>
      </c>
      <c r="B215" t="s">
        <v>36</v>
      </c>
      <c r="C215" t="s">
        <v>2020</v>
      </c>
      <c r="D215" t="s">
        <v>2021</v>
      </c>
    </row>
    <row r="216" spans="8:8">
      <c r="A216">
        <v>215.0</v>
      </c>
      <c r="B216" t="s">
        <v>36</v>
      </c>
      <c r="C216" t="s">
        <v>2022</v>
      </c>
      <c r="D216" t="s">
        <v>2023</v>
      </c>
    </row>
    <row r="217" spans="8:8">
      <c r="A217">
        <v>216.0</v>
      </c>
      <c r="B217" t="s">
        <v>36</v>
      </c>
      <c r="C217" t="s">
        <v>2024</v>
      </c>
      <c r="D217" t="s">
        <v>2025</v>
      </c>
    </row>
    <row r="218" spans="8:8">
      <c r="A218">
        <v>217.0</v>
      </c>
      <c r="B218" t="s">
        <v>36</v>
      </c>
      <c r="C218" t="s">
        <v>2026</v>
      </c>
      <c r="D218" t="s">
        <v>2027</v>
      </c>
    </row>
    <row r="219" spans="8:8">
      <c r="A219">
        <v>218.0</v>
      </c>
      <c r="B219" t="s">
        <v>36</v>
      </c>
      <c r="C219" t="s">
        <v>2028</v>
      </c>
      <c r="D219" t="s">
        <v>2029</v>
      </c>
    </row>
    <row r="220" spans="8:8">
      <c r="A220">
        <v>219.0</v>
      </c>
      <c r="B220" t="s">
        <v>36</v>
      </c>
      <c r="C220" t="s">
        <v>2030</v>
      </c>
      <c r="D220" t="s">
        <v>2031</v>
      </c>
    </row>
    <row r="221" spans="8:8">
      <c r="A221">
        <v>220.0</v>
      </c>
      <c r="B221" t="s">
        <v>36</v>
      </c>
      <c r="C221" t="s">
        <v>2032</v>
      </c>
      <c r="D221" t="s">
        <v>2033</v>
      </c>
    </row>
    <row r="222" spans="8:8">
      <c r="A222">
        <v>221.0</v>
      </c>
      <c r="B222" t="s">
        <v>36</v>
      </c>
      <c r="C222" t="s">
        <v>2034</v>
      </c>
      <c r="D222" t="s">
        <v>2035</v>
      </c>
    </row>
    <row r="223" spans="8:8">
      <c r="A223">
        <v>222.0</v>
      </c>
      <c r="B223" t="s">
        <v>36</v>
      </c>
      <c r="C223" t="s">
        <v>2036</v>
      </c>
      <c r="D223" t="s">
        <v>2037</v>
      </c>
    </row>
    <row r="224" spans="8:8">
      <c r="A224">
        <v>223.0</v>
      </c>
      <c r="B224" t="s">
        <v>36</v>
      </c>
      <c r="C224" t="s">
        <v>2038</v>
      </c>
      <c r="D224" t="s">
        <v>2039</v>
      </c>
    </row>
    <row r="225" spans="8:8">
      <c r="A225">
        <v>224.0</v>
      </c>
      <c r="B225" t="s">
        <v>36</v>
      </c>
      <c r="C225" t="s">
        <v>2040</v>
      </c>
      <c r="D225" t="s">
        <v>2041</v>
      </c>
    </row>
    <row r="226" spans="8:8">
      <c r="A226">
        <v>225.0</v>
      </c>
      <c r="B226" t="s">
        <v>36</v>
      </c>
      <c r="C226" t="s">
        <v>2042</v>
      </c>
      <c r="D226" t="s">
        <v>2043</v>
      </c>
    </row>
    <row r="227" spans="8:8">
      <c r="A227">
        <v>226.0</v>
      </c>
      <c r="B227" t="s">
        <v>36</v>
      </c>
      <c r="C227" t="s">
        <v>2044</v>
      </c>
      <c r="D227" t="s">
        <v>2045</v>
      </c>
    </row>
    <row r="228" spans="8:8">
      <c r="A228">
        <v>227.0</v>
      </c>
      <c r="B228" t="s">
        <v>36</v>
      </c>
      <c r="C228" t="s">
        <v>2046</v>
      </c>
      <c r="D228" t="s">
        <v>2047</v>
      </c>
    </row>
    <row r="229" spans="8:8">
      <c r="A229">
        <v>228.0</v>
      </c>
      <c r="B229" t="s">
        <v>39</v>
      </c>
      <c r="C229" t="s">
        <v>1402</v>
      </c>
      <c r="D229" t="s">
        <v>2048</v>
      </c>
    </row>
    <row r="230" spans="8:8">
      <c r="A230">
        <v>229.0</v>
      </c>
      <c r="B230" t="s">
        <v>39</v>
      </c>
      <c r="C230" t="s">
        <v>2049</v>
      </c>
      <c r="D230" t="s">
        <v>2050</v>
      </c>
    </row>
    <row r="231" spans="8:8">
      <c r="A231">
        <v>230.0</v>
      </c>
      <c r="B231" t="s">
        <v>39</v>
      </c>
      <c r="C231" t="s">
        <v>2051</v>
      </c>
      <c r="D231" t="s">
        <v>2052</v>
      </c>
    </row>
    <row r="232" spans="8:8">
      <c r="A232">
        <v>231.0</v>
      </c>
      <c r="B232" t="s">
        <v>39</v>
      </c>
      <c r="C232" t="s">
        <v>1312</v>
      </c>
      <c r="D232" t="s">
        <v>2053</v>
      </c>
    </row>
    <row r="233" spans="8:8">
      <c r="A233">
        <v>232.0</v>
      </c>
      <c r="B233" t="s">
        <v>39</v>
      </c>
      <c r="C233" t="s">
        <v>2054</v>
      </c>
      <c r="D233" t="s">
        <v>2055</v>
      </c>
    </row>
    <row r="234" spans="8:8">
      <c r="A234">
        <v>233.0</v>
      </c>
      <c r="B234" t="s">
        <v>39</v>
      </c>
      <c r="C234" t="s">
        <v>2056</v>
      </c>
      <c r="D234" t="s">
        <v>2057</v>
      </c>
    </row>
    <row r="235" spans="8:8">
      <c r="A235">
        <v>234.0</v>
      </c>
      <c r="B235" t="s">
        <v>39</v>
      </c>
      <c r="C235" t="s">
        <v>2058</v>
      </c>
      <c r="D235" t="s">
        <v>2059</v>
      </c>
    </row>
    <row r="236" spans="8:8">
      <c r="A236">
        <v>235.0</v>
      </c>
      <c r="B236" t="s">
        <v>39</v>
      </c>
      <c r="C236" t="s">
        <v>2060</v>
      </c>
      <c r="D236" t="s">
        <v>2061</v>
      </c>
    </row>
    <row r="237" spans="8:8">
      <c r="A237">
        <v>236.0</v>
      </c>
      <c r="B237" t="s">
        <v>39</v>
      </c>
      <c r="C237" t="s">
        <v>2062</v>
      </c>
      <c r="D237" t="s">
        <v>2063</v>
      </c>
    </row>
    <row r="238" spans="8:8">
      <c r="A238">
        <v>237.0</v>
      </c>
      <c r="B238" t="s">
        <v>39</v>
      </c>
      <c r="C238" t="s">
        <v>2064</v>
      </c>
      <c r="D238" t="s">
        <v>2065</v>
      </c>
    </row>
    <row r="239" spans="8:8">
      <c r="A239">
        <v>238.0</v>
      </c>
      <c r="B239" t="s">
        <v>39</v>
      </c>
      <c r="C239" t="s">
        <v>2066</v>
      </c>
      <c r="D239" t="s">
        <v>2067</v>
      </c>
    </row>
    <row r="240" spans="8:8">
      <c r="A240">
        <v>239.0</v>
      </c>
      <c r="B240" t="s">
        <v>39</v>
      </c>
      <c r="C240" t="s">
        <v>2068</v>
      </c>
      <c r="D240" t="s">
        <v>2069</v>
      </c>
    </row>
    <row r="241" spans="8:8">
      <c r="A241">
        <v>240.0</v>
      </c>
      <c r="B241" t="s">
        <v>39</v>
      </c>
      <c r="C241" t="s">
        <v>2070</v>
      </c>
      <c r="D241" t="s">
        <v>2071</v>
      </c>
    </row>
    <row r="242" spans="8:8">
      <c r="A242">
        <v>241.0</v>
      </c>
      <c r="B242" t="s">
        <v>39</v>
      </c>
      <c r="C242" t="s">
        <v>2070</v>
      </c>
      <c r="D242" t="s">
        <v>2072</v>
      </c>
    </row>
    <row r="243" spans="8:8">
      <c r="A243">
        <v>242.0</v>
      </c>
      <c r="B243" t="s">
        <v>39</v>
      </c>
      <c r="C243" t="s">
        <v>2073</v>
      </c>
      <c r="D243" t="s">
        <v>2074</v>
      </c>
    </row>
    <row r="244" spans="8:8">
      <c r="A244">
        <v>243.0</v>
      </c>
      <c r="B244" t="s">
        <v>39</v>
      </c>
      <c r="C244" t="s">
        <v>2075</v>
      </c>
      <c r="D244" t="s">
        <v>2076</v>
      </c>
    </row>
    <row r="245" spans="8:8">
      <c r="A245">
        <v>244.0</v>
      </c>
      <c r="B245" t="s">
        <v>39</v>
      </c>
      <c r="C245" t="s">
        <v>2077</v>
      </c>
      <c r="D245" t="s">
        <v>2078</v>
      </c>
    </row>
    <row r="246" spans="8:8">
      <c r="A246">
        <v>245.0</v>
      </c>
      <c r="B246" t="s">
        <v>39</v>
      </c>
      <c r="C246" t="s">
        <v>1526</v>
      </c>
      <c r="D246" t="s">
        <v>2079</v>
      </c>
    </row>
    <row r="247" spans="8:8">
      <c r="A247">
        <v>246.0</v>
      </c>
      <c r="B247" t="s">
        <v>39</v>
      </c>
      <c r="C247" t="s">
        <v>2080</v>
      </c>
      <c r="D247" t="s">
        <v>2081</v>
      </c>
    </row>
    <row r="248" spans="8:8">
      <c r="A248">
        <v>247.0</v>
      </c>
      <c r="B248" t="s">
        <v>39</v>
      </c>
      <c r="C248" t="s">
        <v>1521</v>
      </c>
      <c r="D248" t="s">
        <v>2082</v>
      </c>
    </row>
    <row r="249" spans="8:8">
      <c r="A249">
        <v>248.0</v>
      </c>
      <c r="B249" t="s">
        <v>39</v>
      </c>
      <c r="C249" t="s">
        <v>2083</v>
      </c>
      <c r="D249" t="s">
        <v>2084</v>
      </c>
    </row>
    <row r="250" spans="8:8">
      <c r="A250">
        <v>249.0</v>
      </c>
      <c r="B250" t="s">
        <v>39</v>
      </c>
      <c r="C250" t="s">
        <v>1512</v>
      </c>
      <c r="D250" t="s">
        <v>2085</v>
      </c>
    </row>
    <row r="251" spans="8:8">
      <c r="A251">
        <v>250.0</v>
      </c>
      <c r="B251" t="s">
        <v>39</v>
      </c>
      <c r="C251" t="s">
        <v>2086</v>
      </c>
      <c r="D251" t="s">
        <v>2087</v>
      </c>
    </row>
    <row r="252" spans="8:8">
      <c r="A252">
        <v>251.0</v>
      </c>
      <c r="B252" t="s">
        <v>39</v>
      </c>
      <c r="C252" t="s">
        <v>2088</v>
      </c>
      <c r="D252" t="s">
        <v>2089</v>
      </c>
    </row>
    <row r="253" spans="8:8">
      <c r="A253">
        <v>252.0</v>
      </c>
      <c r="B253" t="s">
        <v>39</v>
      </c>
      <c r="C253" t="s">
        <v>2090</v>
      </c>
      <c r="D253" t="s">
        <v>2091</v>
      </c>
    </row>
    <row r="254" spans="8:8">
      <c r="A254">
        <v>253.0</v>
      </c>
      <c r="B254" t="s">
        <v>39</v>
      </c>
      <c r="C254" t="s">
        <v>2092</v>
      </c>
      <c r="D254" t="s">
        <v>2093</v>
      </c>
    </row>
    <row r="255" spans="8:8">
      <c r="A255">
        <v>254.0</v>
      </c>
      <c r="B255" t="s">
        <v>39</v>
      </c>
      <c r="C255" t="s">
        <v>2094</v>
      </c>
      <c r="D255" t="s">
        <v>2095</v>
      </c>
    </row>
    <row r="256" spans="8:8">
      <c r="A256">
        <v>255.0</v>
      </c>
      <c r="B256" t="s">
        <v>39</v>
      </c>
      <c r="C256" t="s">
        <v>2096</v>
      </c>
      <c r="D256" t="s">
        <v>2097</v>
      </c>
    </row>
    <row r="257" spans="8:8">
      <c r="A257">
        <v>256.0</v>
      </c>
      <c r="B257" t="s">
        <v>39</v>
      </c>
      <c r="C257" t="s">
        <v>2098</v>
      </c>
      <c r="D257" t="s">
        <v>2099</v>
      </c>
    </row>
    <row r="258" spans="8:8">
      <c r="A258">
        <v>257.0</v>
      </c>
      <c r="B258" t="s">
        <v>39</v>
      </c>
      <c r="C258" t="s">
        <v>2100</v>
      </c>
      <c r="D258" t="s">
        <v>2101</v>
      </c>
    </row>
    <row r="259" spans="8:8">
      <c r="A259">
        <v>258.0</v>
      </c>
      <c r="B259" t="s">
        <v>39</v>
      </c>
      <c r="C259" t="s">
        <v>2102</v>
      </c>
      <c r="D259" t="s">
        <v>2103</v>
      </c>
    </row>
    <row r="260" spans="8:8">
      <c r="A260">
        <v>259.0</v>
      </c>
      <c r="B260" t="s">
        <v>39</v>
      </c>
      <c r="C260" t="s">
        <v>2104</v>
      </c>
      <c r="D260" t="s">
        <v>2105</v>
      </c>
    </row>
    <row r="261" spans="8:8">
      <c r="A261">
        <v>260.0</v>
      </c>
      <c r="B261" t="s">
        <v>39</v>
      </c>
      <c r="C261" t="s">
        <v>330</v>
      </c>
      <c r="D261" t="s">
        <v>2106</v>
      </c>
    </row>
    <row r="262" spans="8:8">
      <c r="A262">
        <v>261.0</v>
      </c>
      <c r="B262" t="s">
        <v>39</v>
      </c>
      <c r="C262" t="s">
        <v>1464</v>
      </c>
      <c r="D262" t="s">
        <v>2107</v>
      </c>
    </row>
    <row r="263" spans="8:8">
      <c r="A263">
        <v>262.0</v>
      </c>
      <c r="B263" t="s">
        <v>39</v>
      </c>
      <c r="C263" t="s">
        <v>2108</v>
      </c>
      <c r="D263" t="s">
        <v>2109</v>
      </c>
    </row>
    <row r="264" spans="8:8">
      <c r="A264">
        <v>263.0</v>
      </c>
      <c r="B264" t="s">
        <v>39</v>
      </c>
      <c r="C264" t="s">
        <v>2110</v>
      </c>
      <c r="D264" t="s">
        <v>2111</v>
      </c>
    </row>
    <row r="265" spans="8:8">
      <c r="A265">
        <v>264.0</v>
      </c>
      <c r="B265" t="s">
        <v>39</v>
      </c>
      <c r="C265" t="s">
        <v>1077</v>
      </c>
      <c r="D265" t="s">
        <v>2112</v>
      </c>
    </row>
    <row r="266" spans="8:8">
      <c r="A266">
        <v>265.0</v>
      </c>
      <c r="B266" t="s">
        <v>39</v>
      </c>
      <c r="C266" t="s">
        <v>2113</v>
      </c>
      <c r="D266" t="s">
        <v>2114</v>
      </c>
    </row>
    <row r="267" spans="8:8">
      <c r="A267">
        <v>266.0</v>
      </c>
      <c r="B267" t="s">
        <v>39</v>
      </c>
      <c r="C267" t="s">
        <v>2115</v>
      </c>
      <c r="D267" t="s">
        <v>2116</v>
      </c>
    </row>
    <row r="268" spans="8:8">
      <c r="A268">
        <v>267.0</v>
      </c>
      <c r="B268" t="s">
        <v>39</v>
      </c>
      <c r="C268" t="s">
        <v>2117</v>
      </c>
      <c r="D268" t="s">
        <v>2118</v>
      </c>
    </row>
    <row r="269" spans="8:8">
      <c r="A269">
        <v>268.0</v>
      </c>
      <c r="B269" t="s">
        <v>39</v>
      </c>
      <c r="C269" t="s">
        <v>2119</v>
      </c>
      <c r="D269" t="s">
        <v>2120</v>
      </c>
    </row>
    <row r="270" spans="8:8">
      <c r="A270">
        <v>269.0</v>
      </c>
      <c r="B270" t="s">
        <v>39</v>
      </c>
      <c r="C270" t="s">
        <v>2121</v>
      </c>
      <c r="D270" t="s">
        <v>2122</v>
      </c>
    </row>
    <row r="271" spans="8:8">
      <c r="A271">
        <v>270.0</v>
      </c>
      <c r="B271" t="s">
        <v>39</v>
      </c>
      <c r="C271" t="s">
        <v>2123</v>
      </c>
      <c r="D271" t="s">
        <v>2124</v>
      </c>
    </row>
    <row r="272" spans="8:8">
      <c r="A272">
        <v>271.0</v>
      </c>
      <c r="B272" t="s">
        <v>39</v>
      </c>
      <c r="C272" t="s">
        <v>2125</v>
      </c>
      <c r="D272" t="s">
        <v>2126</v>
      </c>
    </row>
    <row r="273" spans="8:8">
      <c r="A273">
        <v>272.0</v>
      </c>
      <c r="B273" t="s">
        <v>39</v>
      </c>
      <c r="C273" t="s">
        <v>375</v>
      </c>
      <c r="D273" t="s">
        <v>2127</v>
      </c>
    </row>
    <row r="274" spans="8:8">
      <c r="A274">
        <v>273.0</v>
      </c>
      <c r="B274" t="s">
        <v>39</v>
      </c>
      <c r="C274" t="s">
        <v>2128</v>
      </c>
      <c r="D274" t="s">
        <v>2129</v>
      </c>
    </row>
    <row r="275" spans="8:8">
      <c r="A275">
        <v>274.0</v>
      </c>
      <c r="B275" t="s">
        <v>39</v>
      </c>
      <c r="C275" t="s">
        <v>2130</v>
      </c>
      <c r="D275" t="s">
        <v>2131</v>
      </c>
    </row>
    <row r="276" spans="8:8">
      <c r="A276">
        <v>275.0</v>
      </c>
      <c r="B276" t="s">
        <v>39</v>
      </c>
      <c r="C276" t="s">
        <v>2132</v>
      </c>
      <c r="D276" t="s">
        <v>2133</v>
      </c>
    </row>
    <row r="277" spans="8:8">
      <c r="A277">
        <v>276.0</v>
      </c>
      <c r="B277" t="s">
        <v>39</v>
      </c>
      <c r="C277" t="s">
        <v>2134</v>
      </c>
      <c r="D277" t="s">
        <v>2135</v>
      </c>
    </row>
    <row r="278" spans="8:8">
      <c r="A278">
        <v>277.0</v>
      </c>
      <c r="B278" t="s">
        <v>39</v>
      </c>
      <c r="C278" t="s">
        <v>2136</v>
      </c>
      <c r="D278" t="s">
        <v>2137</v>
      </c>
    </row>
    <row r="279" spans="8:8">
      <c r="A279">
        <v>278.0</v>
      </c>
      <c r="B279" t="s">
        <v>39</v>
      </c>
      <c r="C279" t="s">
        <v>2138</v>
      </c>
      <c r="D279" t="s">
        <v>2139</v>
      </c>
    </row>
    <row r="280" spans="8:8">
      <c r="A280">
        <v>279.0</v>
      </c>
      <c r="B280" t="s">
        <v>39</v>
      </c>
      <c r="C280" t="s">
        <v>1402</v>
      </c>
      <c r="D280" t="s">
        <v>2140</v>
      </c>
    </row>
    <row r="281" spans="8:8">
      <c r="A281">
        <v>280.0</v>
      </c>
      <c r="B281" t="s">
        <v>39</v>
      </c>
      <c r="C281" t="s">
        <v>2141</v>
      </c>
      <c r="D281" t="s">
        <v>2142</v>
      </c>
    </row>
    <row r="282" spans="8:8">
      <c r="A282">
        <v>281.0</v>
      </c>
      <c r="B282" t="s">
        <v>39</v>
      </c>
      <c r="C282" t="s">
        <v>2143</v>
      </c>
      <c r="D282" t="s">
        <v>2144</v>
      </c>
    </row>
    <row r="283" spans="8:8">
      <c r="A283">
        <v>282.0</v>
      </c>
      <c r="B283" t="s">
        <v>39</v>
      </c>
      <c r="C283" t="s">
        <v>2145</v>
      </c>
      <c r="D283" t="s">
        <v>2146</v>
      </c>
    </row>
    <row r="284" spans="8:8">
      <c r="A284">
        <v>283.0</v>
      </c>
      <c r="B284" t="s">
        <v>39</v>
      </c>
      <c r="C284" t="s">
        <v>2147</v>
      </c>
      <c r="D284" t="s">
        <v>2148</v>
      </c>
    </row>
    <row r="285" spans="8:8">
      <c r="A285">
        <v>284.0</v>
      </c>
      <c r="B285" t="s">
        <v>39</v>
      </c>
      <c r="C285" t="s">
        <v>338</v>
      </c>
      <c r="D285" t="s">
        <v>2149</v>
      </c>
    </row>
    <row r="286" spans="8:8">
      <c r="A286">
        <v>285.0</v>
      </c>
      <c r="B286" t="s">
        <v>39</v>
      </c>
      <c r="C286" t="s">
        <v>2150</v>
      </c>
      <c r="D286" t="s">
        <v>2151</v>
      </c>
    </row>
    <row r="287" spans="8:8">
      <c r="A287">
        <v>286.0</v>
      </c>
      <c r="B287" t="s">
        <v>39</v>
      </c>
      <c r="C287" t="s">
        <v>2152</v>
      </c>
      <c r="D287" t="s">
        <v>2153</v>
      </c>
    </row>
    <row r="288" spans="8:8">
      <c r="A288">
        <v>287.0</v>
      </c>
      <c r="B288" t="s">
        <v>39</v>
      </c>
      <c r="C288" t="s">
        <v>2154</v>
      </c>
      <c r="D288" t="s">
        <v>2155</v>
      </c>
    </row>
    <row r="289" spans="8:8">
      <c r="A289">
        <v>288.0</v>
      </c>
      <c r="B289" t="s">
        <v>39</v>
      </c>
      <c r="C289" t="s">
        <v>2156</v>
      </c>
      <c r="D289" t="s">
        <v>2157</v>
      </c>
    </row>
    <row r="290" spans="8:8">
      <c r="A290">
        <v>289.0</v>
      </c>
      <c r="B290" t="s">
        <v>39</v>
      </c>
      <c r="C290" t="s">
        <v>2158</v>
      </c>
      <c r="D290" t="s">
        <v>2159</v>
      </c>
    </row>
    <row r="291" spans="8:8">
      <c r="A291">
        <v>290.0</v>
      </c>
      <c r="B291" t="s">
        <v>39</v>
      </c>
      <c r="C291" t="s">
        <v>2160</v>
      </c>
      <c r="D291" t="s">
        <v>2161</v>
      </c>
    </row>
    <row r="292" spans="8:8">
      <c r="A292">
        <v>291.0</v>
      </c>
      <c r="B292" t="s">
        <v>39</v>
      </c>
      <c r="C292" t="s">
        <v>2162</v>
      </c>
      <c r="D292" t="s">
        <v>2163</v>
      </c>
    </row>
    <row r="293" spans="8:8">
      <c r="A293">
        <v>292.0</v>
      </c>
      <c r="B293" t="s">
        <v>39</v>
      </c>
      <c r="C293" t="s">
        <v>2164</v>
      </c>
      <c r="D293" t="s">
        <v>2165</v>
      </c>
    </row>
    <row r="294" spans="8:8">
      <c r="A294">
        <v>293.0</v>
      </c>
      <c r="B294" t="s">
        <v>39</v>
      </c>
      <c r="C294" t="s">
        <v>2166</v>
      </c>
      <c r="D294" t="s">
        <v>2167</v>
      </c>
    </row>
    <row r="295" spans="8:8">
      <c r="A295">
        <v>294.0</v>
      </c>
      <c r="B295" t="s">
        <v>39</v>
      </c>
      <c r="C295" t="s">
        <v>2168</v>
      </c>
      <c r="D295" t="s">
        <v>2169</v>
      </c>
    </row>
    <row r="296" spans="8:8">
      <c r="A296">
        <v>295.0</v>
      </c>
      <c r="B296" t="s">
        <v>39</v>
      </c>
      <c r="C296" t="s">
        <v>2170</v>
      </c>
      <c r="D296" t="s">
        <v>2171</v>
      </c>
    </row>
    <row r="297" spans="8:8">
      <c r="A297">
        <v>296.0</v>
      </c>
      <c r="B297" t="s">
        <v>39</v>
      </c>
      <c r="C297" t="s">
        <v>2172</v>
      </c>
      <c r="D297" t="s">
        <v>2173</v>
      </c>
    </row>
    <row r="298" spans="8:8">
      <c r="A298">
        <v>297.0</v>
      </c>
      <c r="B298" t="s">
        <v>39</v>
      </c>
      <c r="C298" t="s">
        <v>2174</v>
      </c>
      <c r="D298" t="s">
        <v>2175</v>
      </c>
    </row>
    <row r="299" spans="8:8">
      <c r="A299">
        <v>298.0</v>
      </c>
      <c r="B299" t="s">
        <v>39</v>
      </c>
      <c r="C299" t="s">
        <v>2176</v>
      </c>
      <c r="D299" t="s">
        <v>2177</v>
      </c>
    </row>
    <row r="300" spans="8:8">
      <c r="A300">
        <v>299.0</v>
      </c>
      <c r="B300" t="s">
        <v>39</v>
      </c>
      <c r="C300" t="s">
        <v>2178</v>
      </c>
      <c r="D300" t="s">
        <v>2179</v>
      </c>
    </row>
    <row r="301" spans="8:8">
      <c r="A301">
        <v>300.0</v>
      </c>
      <c r="B301" t="s">
        <v>39</v>
      </c>
      <c r="C301" t="s">
        <v>2180</v>
      </c>
      <c r="D301" t="s">
        <v>2181</v>
      </c>
    </row>
    <row r="302" spans="8:8">
      <c r="A302">
        <v>301.0</v>
      </c>
      <c r="B302" t="s">
        <v>33</v>
      </c>
      <c r="C302" t="s">
        <v>2182</v>
      </c>
      <c r="E302" t="s">
        <v>50</v>
      </c>
    </row>
    <row r="303" spans="8:8">
      <c r="A303">
        <v>302.0</v>
      </c>
      <c r="B303" t="s">
        <v>42</v>
      </c>
      <c r="C303" t="s">
        <v>2183</v>
      </c>
      <c r="E303" t="s">
        <v>50</v>
      </c>
    </row>
    <row r="304" spans="8:8">
      <c r="A304">
        <v>303.0</v>
      </c>
      <c r="B304" t="s">
        <v>33</v>
      </c>
      <c r="C304" t="s">
        <v>2184</v>
      </c>
      <c r="E304" t="s">
        <v>50</v>
      </c>
    </row>
    <row r="305" spans="8:8">
      <c r="A305">
        <v>304.0</v>
      </c>
      <c r="B305" t="s">
        <v>30</v>
      </c>
      <c r="C305" t="s">
        <v>2185</v>
      </c>
      <c r="E305" t="s">
        <v>50</v>
      </c>
    </row>
    <row r="306" spans="8:8">
      <c r="A306">
        <v>305.0</v>
      </c>
      <c r="B306" t="s">
        <v>30</v>
      </c>
      <c r="C306" t="s">
        <v>2186</v>
      </c>
      <c r="E306" t="s">
        <v>50</v>
      </c>
    </row>
    <row r="307" spans="8:8">
      <c r="A307">
        <v>306.0</v>
      </c>
      <c r="B307" t="s">
        <v>30</v>
      </c>
      <c r="C307" t="s">
        <v>2187</v>
      </c>
      <c r="E307" t="s">
        <v>50</v>
      </c>
    </row>
    <row r="308" spans="8:8">
      <c r="A308">
        <v>307.0</v>
      </c>
      <c r="B308" t="s">
        <v>33</v>
      </c>
      <c r="C308" t="s">
        <v>2188</v>
      </c>
      <c r="E308" t="s">
        <v>50</v>
      </c>
    </row>
    <row r="309" spans="8:8">
      <c r="A309">
        <v>308.0</v>
      </c>
      <c r="B309" t="s">
        <v>30</v>
      </c>
      <c r="C309" t="s">
        <v>2189</v>
      </c>
      <c r="E309" t="s">
        <v>50</v>
      </c>
    </row>
    <row r="310" spans="8:8">
      <c r="A310">
        <v>309.0</v>
      </c>
      <c r="B310" t="s">
        <v>30</v>
      </c>
      <c r="C310" t="s">
        <v>2190</v>
      </c>
      <c r="E310" t="s">
        <v>50</v>
      </c>
    </row>
    <row r="311" spans="8:8">
      <c r="A311">
        <v>310.0</v>
      </c>
      <c r="B311" t="s">
        <v>30</v>
      </c>
      <c r="C311" t="s">
        <v>2191</v>
      </c>
      <c r="E311" t="s">
        <v>50</v>
      </c>
    </row>
    <row r="312" spans="8:8">
      <c r="A312">
        <v>311.0</v>
      </c>
      <c r="B312" t="s">
        <v>30</v>
      </c>
      <c r="C312" t="s">
        <v>2192</v>
      </c>
      <c r="E312" t="s">
        <v>50</v>
      </c>
    </row>
    <row r="313" spans="8:8">
      <c r="A313">
        <v>312.0</v>
      </c>
      <c r="B313" t="s">
        <v>30</v>
      </c>
      <c r="C313" t="s">
        <v>2193</v>
      </c>
      <c r="E313" t="s">
        <v>50</v>
      </c>
    </row>
    <row r="314" spans="8:8">
      <c r="A314">
        <v>313.0</v>
      </c>
      <c r="B314" t="s">
        <v>33</v>
      </c>
      <c r="C314" t="s">
        <v>2194</v>
      </c>
      <c r="E314" t="s">
        <v>50</v>
      </c>
    </row>
    <row r="315" spans="8:8">
      <c r="A315">
        <v>314.0</v>
      </c>
      <c r="B315" t="s">
        <v>36</v>
      </c>
      <c r="C315" t="s">
        <v>2195</v>
      </c>
      <c r="E315" t="s">
        <v>50</v>
      </c>
    </row>
    <row r="316" spans="8:8">
      <c r="A316">
        <v>315.0</v>
      </c>
      <c r="B316" t="s">
        <v>30</v>
      </c>
      <c r="C316" t="s">
        <v>2196</v>
      </c>
      <c r="E316" t="s">
        <v>50</v>
      </c>
    </row>
    <row r="317" spans="8:8">
      <c r="A317">
        <v>316.0</v>
      </c>
      <c r="B317" t="s">
        <v>42</v>
      </c>
      <c r="C317" t="s">
        <v>2197</v>
      </c>
      <c r="E317" t="s">
        <v>50</v>
      </c>
    </row>
    <row r="318" spans="8:8">
      <c r="A318">
        <v>317.0</v>
      </c>
      <c r="B318" t="s">
        <v>30</v>
      </c>
      <c r="C318" t="s">
        <v>2198</v>
      </c>
      <c r="E318" t="s">
        <v>50</v>
      </c>
    </row>
    <row r="319" spans="8:8">
      <c r="A319">
        <v>318.0</v>
      </c>
      <c r="B319" t="s">
        <v>39</v>
      </c>
      <c r="C319" t="s">
        <v>2199</v>
      </c>
      <c r="E319" t="s">
        <v>50</v>
      </c>
    </row>
    <row r="320" spans="8:8">
      <c r="A320">
        <v>319.0</v>
      </c>
      <c r="B320" t="s">
        <v>33</v>
      </c>
      <c r="C320" t="s">
        <v>2200</v>
      </c>
      <c r="E320" t="s">
        <v>50</v>
      </c>
    </row>
    <row r="321" spans="8:8">
      <c r="A321">
        <v>320.0</v>
      </c>
      <c r="B321" t="s">
        <v>30</v>
      </c>
      <c r="C321" t="s">
        <v>2201</v>
      </c>
      <c r="E321" t="s">
        <v>50</v>
      </c>
    </row>
    <row r="322" spans="8:8">
      <c r="A322">
        <v>321.0</v>
      </c>
      <c r="B322" t="s">
        <v>42</v>
      </c>
      <c r="C322" t="s">
        <v>2202</v>
      </c>
      <c r="E322" t="s">
        <v>50</v>
      </c>
    </row>
    <row r="323" spans="8:8">
      <c r="A323">
        <v>322.0</v>
      </c>
      <c r="B323" t="s">
        <v>42</v>
      </c>
      <c r="C323" t="s">
        <v>2203</v>
      </c>
      <c r="E323" t="s">
        <v>50</v>
      </c>
    </row>
    <row r="324" spans="8:8">
      <c r="A324">
        <v>323.0</v>
      </c>
      <c r="B324" t="s">
        <v>30</v>
      </c>
      <c r="C324" t="s">
        <v>600</v>
      </c>
      <c r="E324" t="s">
        <v>50</v>
      </c>
    </row>
    <row r="325" spans="8:8">
      <c r="A325">
        <v>324.0</v>
      </c>
      <c r="B325" t="s">
        <v>33</v>
      </c>
      <c r="C325" t="s">
        <v>2204</v>
      </c>
      <c r="E325" t="s">
        <v>50</v>
      </c>
    </row>
    <row r="326" spans="8:8">
      <c r="A326">
        <v>325.0</v>
      </c>
      <c r="B326" t="s">
        <v>33</v>
      </c>
      <c r="C326" t="s">
        <v>2205</v>
      </c>
      <c r="E326" t="s">
        <v>50</v>
      </c>
    </row>
    <row r="327" spans="8:8">
      <c r="A327">
        <v>326.0</v>
      </c>
      <c r="B327" t="s">
        <v>42</v>
      </c>
      <c r="C327" t="s">
        <v>2206</v>
      </c>
      <c r="E327" t="s">
        <v>50</v>
      </c>
    </row>
    <row r="328" spans="8:8">
      <c r="A328">
        <v>327.0</v>
      </c>
      <c r="B328" t="s">
        <v>36</v>
      </c>
      <c r="C328" t="s">
        <v>2207</v>
      </c>
      <c r="E328" t="s">
        <v>50</v>
      </c>
    </row>
    <row r="329" spans="8:8">
      <c r="A329">
        <v>328.0</v>
      </c>
      <c r="B329" t="s">
        <v>42</v>
      </c>
      <c r="C329" t="s">
        <v>2208</v>
      </c>
      <c r="E329" t="s">
        <v>50</v>
      </c>
    </row>
    <row r="330" spans="8:8">
      <c r="A330">
        <v>329.0</v>
      </c>
      <c r="B330" t="s">
        <v>30</v>
      </c>
      <c r="C330" t="s">
        <v>2209</v>
      </c>
      <c r="D330" t="s">
        <v>2210</v>
      </c>
      <c r="E330" t="s">
        <v>50</v>
      </c>
    </row>
    <row r="331" spans="8:8">
      <c r="A331">
        <v>330.0</v>
      </c>
      <c r="B331" t="s">
        <v>33</v>
      </c>
      <c r="C331" t="s">
        <v>2211</v>
      </c>
      <c r="D331" t="s">
        <v>2212</v>
      </c>
    </row>
    <row r="332" spans="8:8" ht="13.5" customFormat="1">
      <c r="A332">
        <v>331.0</v>
      </c>
      <c r="B332" t="s">
        <v>33</v>
      </c>
      <c r="C332" t="s">
        <v>2213</v>
      </c>
      <c r="D332" t="s">
        <v>2214</v>
      </c>
    </row>
    <row r="333" spans="8:8" ht="13.5" customFormat="1">
      <c r="A333">
        <v>332.0</v>
      </c>
      <c r="B333" t="s">
        <v>30</v>
      </c>
      <c r="C333" t="s">
        <v>2215</v>
      </c>
      <c r="D333" t="s">
        <v>2216</v>
      </c>
    </row>
    <row r="334" spans="8:8" ht="13.5" customFormat="1">
      <c r="A334">
        <v>333.0</v>
      </c>
      <c r="B334" t="s">
        <v>39</v>
      </c>
      <c r="C334" t="s">
        <v>2217</v>
      </c>
      <c r="D334" t="s">
        <v>2218</v>
      </c>
    </row>
    <row r="335" spans="8:8" ht="13.5" customFormat="1">
      <c r="A335">
        <v>334.0</v>
      </c>
      <c r="B335" t="s">
        <v>39</v>
      </c>
      <c r="C335" t="s">
        <v>2219</v>
      </c>
      <c r="D335" t="s">
        <v>2220</v>
      </c>
    </row>
    <row r="336" spans="8:8" ht="13.5" customFormat="1">
      <c r="A336">
        <v>335.0</v>
      </c>
      <c r="B336" t="s">
        <v>39</v>
      </c>
      <c r="C336" t="s">
        <v>2221</v>
      </c>
      <c r="D336" t="s">
        <v>2222</v>
      </c>
    </row>
    <row r="337" spans="8:8" ht="13.5" customFormat="1">
      <c r="A337">
        <v>336.0</v>
      </c>
      <c r="B337" t="s">
        <v>39</v>
      </c>
      <c r="C337" t="s">
        <v>2223</v>
      </c>
      <c r="D337" s="1" t="s">
        <v>2224</v>
      </c>
    </row>
    <row r="338" spans="8:8" ht="13.5" customFormat="1">
      <c r="A338">
        <v>337.0</v>
      </c>
      <c r="B338" t="s">
        <v>39</v>
      </c>
      <c r="C338" t="s">
        <v>2225</v>
      </c>
      <c r="D338" t="s">
        <v>2226</v>
      </c>
    </row>
    <row r="339" spans="8:8">
      <c r="A339">
        <v>338.0</v>
      </c>
      <c r="B339" t="s">
        <v>39</v>
      </c>
      <c r="C339" t="s">
        <v>2227</v>
      </c>
      <c r="D339" t="s">
        <v>250</v>
      </c>
    </row>
    <row r="340" spans="8:8">
      <c r="A340">
        <v>339.0</v>
      </c>
      <c r="B340" t="s">
        <v>39</v>
      </c>
      <c r="C340" t="s">
        <v>251</v>
      </c>
      <c r="D340" t="s">
        <v>252</v>
      </c>
    </row>
    <row r="341" spans="8:8">
      <c r="A341">
        <v>340.0</v>
      </c>
      <c r="B341" t="s">
        <v>39</v>
      </c>
      <c r="C341" t="s">
        <v>253</v>
      </c>
      <c r="D341" t="s">
        <v>254</v>
      </c>
    </row>
    <row r="342" spans="8:8">
      <c r="A342">
        <v>341.0</v>
      </c>
      <c r="B342" t="s">
        <v>30</v>
      </c>
      <c r="C342" t="s">
        <v>2228</v>
      </c>
      <c r="D342" t="s">
        <v>2229</v>
      </c>
    </row>
    <row r="343" spans="8:8">
      <c r="A343">
        <v>342.0</v>
      </c>
      <c r="B343" t="s">
        <v>39</v>
      </c>
      <c r="C343" t="s">
        <v>2230</v>
      </c>
      <c r="D343" t="s">
        <v>2231</v>
      </c>
    </row>
    <row r="344" spans="8:8">
      <c r="A344">
        <v>343.0</v>
      </c>
      <c r="B344" t="s">
        <v>36</v>
      </c>
      <c r="C344" t="s">
        <v>2232</v>
      </c>
      <c r="E344" t="s">
        <v>54</v>
      </c>
    </row>
    <row r="345" spans="8:8">
      <c r="A345">
        <v>344.0</v>
      </c>
      <c r="B345" t="s">
        <v>39</v>
      </c>
      <c r="C345" t="s">
        <v>2233</v>
      </c>
      <c r="E345" t="s">
        <v>54</v>
      </c>
    </row>
    <row r="346" spans="8:8">
      <c r="A346">
        <v>345.0</v>
      </c>
      <c r="B346" t="s">
        <v>30</v>
      </c>
      <c r="C346" t="s">
        <v>2234</v>
      </c>
      <c r="E346" t="s">
        <v>54</v>
      </c>
    </row>
    <row r="347" spans="8:8">
      <c r="A347">
        <v>346.0</v>
      </c>
      <c r="B347" t="s">
        <v>42</v>
      </c>
      <c r="C347" t="s">
        <v>2235</v>
      </c>
      <c r="E347" t="s">
        <v>54</v>
      </c>
    </row>
    <row r="348" spans="8:8">
      <c r="A348">
        <v>347.0</v>
      </c>
      <c r="B348" t="s">
        <v>42</v>
      </c>
      <c r="C348" t="s">
        <v>2236</v>
      </c>
      <c r="E348" t="s">
        <v>54</v>
      </c>
    </row>
    <row r="349" spans="8:8">
      <c r="A349">
        <v>348.0</v>
      </c>
      <c r="B349" t="s">
        <v>42</v>
      </c>
      <c r="C349" t="s">
        <v>2237</v>
      </c>
      <c r="E349" t="s">
        <v>54</v>
      </c>
    </row>
    <row r="350" spans="8:8">
      <c r="A350">
        <v>349.0</v>
      </c>
      <c r="B350" t="s">
        <v>42</v>
      </c>
      <c r="C350" t="s">
        <v>2238</v>
      </c>
      <c r="E350" t="s">
        <v>54</v>
      </c>
    </row>
    <row r="351" spans="8:8">
      <c r="A351">
        <v>350.0</v>
      </c>
      <c r="B351" t="s">
        <v>42</v>
      </c>
      <c r="C351" t="s">
        <v>157</v>
      </c>
      <c r="E351" t="s">
        <v>54</v>
      </c>
    </row>
    <row r="352" spans="8:8">
      <c r="A352">
        <v>351.0</v>
      </c>
      <c r="B352" t="s">
        <v>42</v>
      </c>
      <c r="C352" t="s">
        <v>2239</v>
      </c>
      <c r="E352" t="s">
        <v>54</v>
      </c>
    </row>
    <row r="353" spans="8:8">
      <c r="A353">
        <v>352.0</v>
      </c>
      <c r="B353" t="s">
        <v>42</v>
      </c>
      <c r="C353" t="s">
        <v>2240</v>
      </c>
      <c r="E353" t="s">
        <v>54</v>
      </c>
    </row>
    <row r="354" spans="8:8">
      <c r="A354">
        <v>353.0</v>
      </c>
      <c r="B354" t="s">
        <v>39</v>
      </c>
      <c r="C354" t="s">
        <v>2241</v>
      </c>
      <c r="E354" t="s">
        <v>54</v>
      </c>
    </row>
    <row r="355" spans="8:8">
      <c r="A355">
        <v>354.0</v>
      </c>
      <c r="B355" t="s">
        <v>39</v>
      </c>
      <c r="C355" t="s">
        <v>2242</v>
      </c>
      <c r="E355" t="s">
        <v>54</v>
      </c>
    </row>
    <row r="356" spans="8:8">
      <c r="A356">
        <v>355.0</v>
      </c>
      <c r="B356" t="s">
        <v>42</v>
      </c>
      <c r="C356" t="s">
        <v>2243</v>
      </c>
      <c r="E356" t="s">
        <v>54</v>
      </c>
    </row>
    <row r="357" spans="8:8">
      <c r="A357">
        <v>356.0</v>
      </c>
      <c r="B357" t="s">
        <v>36</v>
      </c>
      <c r="C357" t="s">
        <v>2244</v>
      </c>
      <c r="E357" t="s">
        <v>54</v>
      </c>
    </row>
    <row r="358" spans="8:8">
      <c r="A358">
        <v>357.0</v>
      </c>
      <c r="B358" t="s">
        <v>42</v>
      </c>
      <c r="C358" t="s">
        <v>2245</v>
      </c>
      <c r="E358" t="s">
        <v>54</v>
      </c>
    </row>
    <row r="359" spans="8:8">
      <c r="A359">
        <v>358.0</v>
      </c>
      <c r="B359" t="s">
        <v>42</v>
      </c>
      <c r="C359" t="s">
        <v>2246</v>
      </c>
      <c r="E359" t="s">
        <v>54</v>
      </c>
    </row>
    <row r="360" spans="8:8">
      <c r="A360">
        <v>359.0</v>
      </c>
      <c r="B360" t="s">
        <v>42</v>
      </c>
      <c r="C360" t="s">
        <v>2247</v>
      </c>
      <c r="E360" t="s">
        <v>54</v>
      </c>
    </row>
    <row r="361" spans="8:8">
      <c r="A361">
        <v>360.0</v>
      </c>
      <c r="B361" t="s">
        <v>30</v>
      </c>
      <c r="C361" t="s">
        <v>2248</v>
      </c>
      <c r="E361" t="s">
        <v>54</v>
      </c>
    </row>
    <row r="362" spans="8:8">
      <c r="A362">
        <v>361.0</v>
      </c>
      <c r="B362" t="s">
        <v>42</v>
      </c>
      <c r="C362" t="s">
        <v>2249</v>
      </c>
      <c r="E362" t="s">
        <v>54</v>
      </c>
    </row>
    <row r="363" spans="8:8">
      <c r="A363">
        <v>362.0</v>
      </c>
      <c r="B363" t="s">
        <v>39</v>
      </c>
      <c r="C363" t="s">
        <v>2250</v>
      </c>
      <c r="E363" t="s">
        <v>54</v>
      </c>
    </row>
    <row r="364" spans="8:8">
      <c r="A364">
        <v>363.0</v>
      </c>
      <c r="B364" t="s">
        <v>39</v>
      </c>
      <c r="C364" t="s">
        <v>2251</v>
      </c>
      <c r="E364" t="s">
        <v>54</v>
      </c>
    </row>
    <row r="365" spans="8:8">
      <c r="A365">
        <v>364.0</v>
      </c>
      <c r="B365" t="s">
        <v>33</v>
      </c>
      <c r="C365" t="s">
        <v>2252</v>
      </c>
      <c r="E365" t="s">
        <v>54</v>
      </c>
    </row>
    <row r="366" spans="8:8">
      <c r="A366">
        <v>365.0</v>
      </c>
      <c r="B366" t="s">
        <v>33</v>
      </c>
      <c r="C366" t="s">
        <v>2253</v>
      </c>
      <c r="E366" t="s">
        <v>54</v>
      </c>
    </row>
    <row r="367" spans="8:8">
      <c r="A367">
        <v>366.0</v>
      </c>
      <c r="B367" t="s">
        <v>30</v>
      </c>
      <c r="C367" t="s">
        <v>2254</v>
      </c>
      <c r="E367" t="s">
        <v>54</v>
      </c>
    </row>
    <row r="368" spans="8:8">
      <c r="A368">
        <v>367.0</v>
      </c>
      <c r="B368" t="s">
        <v>42</v>
      </c>
      <c r="C368" t="s">
        <v>2255</v>
      </c>
      <c r="E368" t="s">
        <v>54</v>
      </c>
    </row>
    <row r="369" spans="8:8">
      <c r="A369">
        <v>368.0</v>
      </c>
      <c r="B369" t="s">
        <v>39</v>
      </c>
      <c r="C369" t="s">
        <v>2256</v>
      </c>
      <c r="E369" t="s">
        <v>54</v>
      </c>
    </row>
    <row r="370" spans="8:8">
      <c r="A370">
        <v>369.0</v>
      </c>
      <c r="B370" t="s">
        <v>42</v>
      </c>
      <c r="C370" t="s">
        <v>2257</v>
      </c>
      <c r="E370" t="s">
        <v>54</v>
      </c>
    </row>
    <row r="371" spans="8:8">
      <c r="A371">
        <v>370.0</v>
      </c>
      <c r="B371" t="s">
        <v>30</v>
      </c>
      <c r="C371" t="s">
        <v>2258</v>
      </c>
      <c r="E371" t="s">
        <v>54</v>
      </c>
    </row>
    <row r="372" spans="8:8">
      <c r="A372">
        <v>371.0</v>
      </c>
      <c r="B372" t="s">
        <v>39</v>
      </c>
      <c r="C372" t="s">
        <v>2259</v>
      </c>
      <c r="E372" t="s">
        <v>54</v>
      </c>
    </row>
    <row r="373" spans="8:8">
      <c r="A373">
        <v>372.0</v>
      </c>
      <c r="B373" t="s">
        <v>39</v>
      </c>
      <c r="C373" t="s">
        <v>2260</v>
      </c>
      <c r="E373" t="s">
        <v>54</v>
      </c>
    </row>
    <row r="374" spans="8:8">
      <c r="A374">
        <v>373.0</v>
      </c>
      <c r="B374" t="s">
        <v>33</v>
      </c>
      <c r="C374" t="s">
        <v>2261</v>
      </c>
      <c r="E374" t="s">
        <v>54</v>
      </c>
    </row>
    <row r="375" spans="8:8">
      <c r="A375">
        <v>374.0</v>
      </c>
      <c r="B375" t="s">
        <v>33</v>
      </c>
      <c r="C375" t="s">
        <v>2262</v>
      </c>
      <c r="E375" t="s">
        <v>54</v>
      </c>
    </row>
    <row r="376" spans="8:8">
      <c r="A376">
        <v>375.0</v>
      </c>
      <c r="B376" t="s">
        <v>42</v>
      </c>
      <c r="C376" t="s">
        <v>2263</v>
      </c>
      <c r="E376" t="s">
        <v>54</v>
      </c>
    </row>
    <row r="377" spans="8:8">
      <c r="A377">
        <v>376.0</v>
      </c>
      <c r="B377" t="s">
        <v>33</v>
      </c>
      <c r="C377" t="s">
        <v>2264</v>
      </c>
      <c r="E377" t="s">
        <v>54</v>
      </c>
    </row>
    <row r="378" spans="8:8">
      <c r="A378">
        <v>377.0</v>
      </c>
      <c r="B378" t="s">
        <v>39</v>
      </c>
      <c r="C378" t="s">
        <v>2265</v>
      </c>
      <c r="E378" t="s">
        <v>54</v>
      </c>
    </row>
    <row r="379" spans="8:8">
      <c r="A379">
        <v>378.0</v>
      </c>
      <c r="B379" t="s">
        <v>42</v>
      </c>
      <c r="C379" t="s">
        <v>2266</v>
      </c>
      <c r="E379" t="s">
        <v>54</v>
      </c>
    </row>
    <row r="380" spans="8:8">
      <c r="A380">
        <v>379.0</v>
      </c>
      <c r="B380" t="s">
        <v>42</v>
      </c>
      <c r="C380" t="s">
        <v>2267</v>
      </c>
      <c r="E380" t="s">
        <v>54</v>
      </c>
    </row>
    <row r="381" spans="8:8">
      <c r="A381">
        <v>380.0</v>
      </c>
      <c r="B381" t="s">
        <v>42</v>
      </c>
      <c r="C381" t="s">
        <v>2268</v>
      </c>
      <c r="E381" t="s">
        <v>54</v>
      </c>
    </row>
    <row r="382" spans="8:8">
      <c r="A382">
        <v>381.0</v>
      </c>
      <c r="B382" t="s">
        <v>39</v>
      </c>
      <c r="C382" t="s">
        <v>2269</v>
      </c>
      <c r="E382" t="s">
        <v>54</v>
      </c>
    </row>
    <row r="383" spans="8:8">
      <c r="A383">
        <v>382.0</v>
      </c>
      <c r="B383" t="s">
        <v>36</v>
      </c>
      <c r="C383" t="s">
        <v>141</v>
      </c>
      <c r="E383" t="s">
        <v>54</v>
      </c>
    </row>
    <row r="384" spans="8:8">
      <c r="A384">
        <v>383.0</v>
      </c>
      <c r="B384" t="s">
        <v>39</v>
      </c>
      <c r="C384" t="s">
        <v>2270</v>
      </c>
      <c r="E384" t="s">
        <v>54</v>
      </c>
    </row>
    <row r="385" spans="8:8">
      <c r="A385">
        <v>384.0</v>
      </c>
      <c r="B385" t="s">
        <v>36</v>
      </c>
      <c r="C385" t="s">
        <v>2271</v>
      </c>
      <c r="E385" t="s">
        <v>54</v>
      </c>
    </row>
    <row r="386" spans="8:8">
      <c r="A386">
        <v>385.0</v>
      </c>
      <c r="B386" t="s">
        <v>36</v>
      </c>
      <c r="C386" t="s">
        <v>143</v>
      </c>
      <c r="E386" t="s">
        <v>54</v>
      </c>
    </row>
    <row r="387" spans="8:8">
      <c r="A387">
        <v>386.0</v>
      </c>
      <c r="B387" t="s">
        <v>42</v>
      </c>
      <c r="C387" t="s">
        <v>2272</v>
      </c>
      <c r="E387" t="s">
        <v>54</v>
      </c>
    </row>
    <row r="388" spans="8:8">
      <c r="A388">
        <v>387.0</v>
      </c>
      <c r="B388" t="s">
        <v>39</v>
      </c>
      <c r="C388" t="s">
        <v>2273</v>
      </c>
      <c r="E388" t="s">
        <v>54</v>
      </c>
    </row>
    <row r="389" spans="8:8">
      <c r="A389">
        <v>388.0</v>
      </c>
      <c r="B389" t="s">
        <v>42</v>
      </c>
      <c r="C389" t="s">
        <v>2274</v>
      </c>
      <c r="E389" t="s">
        <v>54</v>
      </c>
    </row>
    <row r="390" spans="8:8">
      <c r="A390">
        <v>389.0</v>
      </c>
      <c r="B390" t="s">
        <v>39</v>
      </c>
      <c r="C390" t="s">
        <v>2275</v>
      </c>
      <c r="E390" t="s">
        <v>54</v>
      </c>
    </row>
    <row r="391" spans="8:8">
      <c r="A391">
        <v>390.0</v>
      </c>
      <c r="B391" t="s">
        <v>42</v>
      </c>
      <c r="C391" t="s">
        <v>2276</v>
      </c>
      <c r="E391" t="s">
        <v>54</v>
      </c>
    </row>
    <row r="392" spans="8:8">
      <c r="A392">
        <v>391.0</v>
      </c>
      <c r="B392" t="s">
        <v>42</v>
      </c>
      <c r="C392" t="s">
        <v>153</v>
      </c>
      <c r="E392" t="s">
        <v>54</v>
      </c>
    </row>
    <row r="393" spans="8:8">
      <c r="A393">
        <v>392.0</v>
      </c>
      <c r="B393" t="s">
        <v>39</v>
      </c>
      <c r="C393" t="s">
        <v>2277</v>
      </c>
      <c r="E393" t="s">
        <v>54</v>
      </c>
    </row>
    <row r="394" spans="8:8">
      <c r="A394">
        <v>393.0</v>
      </c>
      <c r="B394" t="s">
        <v>42</v>
      </c>
      <c r="C394" t="s">
        <v>2278</v>
      </c>
      <c r="E394" t="s">
        <v>54</v>
      </c>
    </row>
    <row r="395" spans="8:8">
      <c r="A395">
        <v>394.0</v>
      </c>
      <c r="B395" t="s">
        <v>42</v>
      </c>
      <c r="C395" t="s">
        <v>2279</v>
      </c>
      <c r="E395" t="s">
        <v>54</v>
      </c>
    </row>
    <row r="396" spans="8:8">
      <c r="A396">
        <v>395.0</v>
      </c>
      <c r="B396" t="s">
        <v>42</v>
      </c>
      <c r="C396" t="s">
        <v>2280</v>
      </c>
      <c r="E396" t="s">
        <v>54</v>
      </c>
    </row>
    <row r="397" spans="8:8">
      <c r="A397">
        <v>396.0</v>
      </c>
      <c r="B397" t="s">
        <v>42</v>
      </c>
      <c r="C397" t="s">
        <v>1238</v>
      </c>
      <c r="E397" t="s">
        <v>54</v>
      </c>
    </row>
    <row r="398" spans="8:8">
      <c r="A398">
        <v>397.0</v>
      </c>
      <c r="B398" t="s">
        <v>42</v>
      </c>
      <c r="C398" t="s">
        <v>708</v>
      </c>
      <c r="E398" t="s">
        <v>54</v>
      </c>
    </row>
    <row r="399" spans="8:8">
      <c r="A399">
        <v>398.0</v>
      </c>
      <c r="B399" t="s">
        <v>42</v>
      </c>
      <c r="C399" t="s">
        <v>1310</v>
      </c>
      <c r="E399" t="s">
        <v>54</v>
      </c>
    </row>
    <row r="400" spans="8:8">
      <c r="A400">
        <v>399.0</v>
      </c>
      <c r="B400" t="s">
        <v>42</v>
      </c>
      <c r="C400" t="s">
        <v>2281</v>
      </c>
      <c r="E400" t="s">
        <v>54</v>
      </c>
    </row>
    <row r="401" spans="8:8">
      <c r="A401">
        <v>400.0</v>
      </c>
      <c r="B401" t="s">
        <v>39</v>
      </c>
      <c r="C401" t="s">
        <v>2282</v>
      </c>
      <c r="E401" t="s">
        <v>54</v>
      </c>
    </row>
    <row r="402" spans="8:8">
      <c r="A402">
        <v>401.0</v>
      </c>
      <c r="B402" t="s">
        <v>39</v>
      </c>
      <c r="C402" t="s">
        <v>2283</v>
      </c>
      <c r="E402" t="s">
        <v>54</v>
      </c>
    </row>
    <row r="403" spans="8:8">
      <c r="A403">
        <v>402.0</v>
      </c>
      <c r="B403" t="s">
        <v>39</v>
      </c>
      <c r="C403" t="s">
        <v>2284</v>
      </c>
      <c r="E403" t="s">
        <v>54</v>
      </c>
    </row>
    <row r="404" spans="8:8">
      <c r="A404">
        <v>403.0</v>
      </c>
      <c r="B404" t="s">
        <v>42</v>
      </c>
      <c r="C404" t="s">
        <v>2285</v>
      </c>
      <c r="E404" t="s">
        <v>54</v>
      </c>
    </row>
    <row r="405" spans="8:8">
      <c r="A405">
        <v>404.0</v>
      </c>
      <c r="B405" t="s">
        <v>36</v>
      </c>
      <c r="C405" t="s">
        <v>2286</v>
      </c>
      <c r="E405" t="s">
        <v>54</v>
      </c>
    </row>
    <row r="406" spans="8:8">
      <c r="A406">
        <v>405.0</v>
      </c>
      <c r="B406" t="s">
        <v>39</v>
      </c>
      <c r="C406" t="s">
        <v>2287</v>
      </c>
      <c r="E406" t="s">
        <v>54</v>
      </c>
    </row>
    <row r="407" spans="8:8">
      <c r="A407">
        <v>406.0</v>
      </c>
      <c r="B407" t="s">
        <v>39</v>
      </c>
      <c r="C407" t="s">
        <v>2288</v>
      </c>
      <c r="E407" t="s">
        <v>54</v>
      </c>
    </row>
    <row r="408" spans="8:8">
      <c r="A408">
        <v>407.0</v>
      </c>
      <c r="B408" t="s">
        <v>42</v>
      </c>
      <c r="C408" t="s">
        <v>2289</v>
      </c>
      <c r="E408" t="s">
        <v>54</v>
      </c>
    </row>
    <row r="409" spans="8:8">
      <c r="A409">
        <v>408.0</v>
      </c>
      <c r="B409" t="s">
        <v>39</v>
      </c>
      <c r="C409" t="s">
        <v>2290</v>
      </c>
      <c r="E409" t="s">
        <v>54</v>
      </c>
    </row>
    <row r="410" spans="8:8">
      <c r="A410">
        <v>409.0</v>
      </c>
      <c r="B410" t="s">
        <v>39</v>
      </c>
      <c r="C410" t="s">
        <v>2291</v>
      </c>
      <c r="E410" t="s">
        <v>54</v>
      </c>
    </row>
    <row r="411" spans="8:8">
      <c r="A411">
        <v>410.0</v>
      </c>
      <c r="B411" t="s">
        <v>30</v>
      </c>
      <c r="C411" t="s">
        <v>2292</v>
      </c>
      <c r="E411" t="s">
        <v>54</v>
      </c>
    </row>
    <row r="412" spans="8:8">
      <c r="A412">
        <v>411.0</v>
      </c>
      <c r="B412" t="s">
        <v>36</v>
      </c>
      <c r="C412" t="s">
        <v>605</v>
      </c>
      <c r="E412" t="s">
        <v>54</v>
      </c>
    </row>
    <row r="413" spans="8:8">
      <c r="A413">
        <v>412.0</v>
      </c>
      <c r="B413" t="s">
        <v>42</v>
      </c>
      <c r="C413" t="s">
        <v>2293</v>
      </c>
      <c r="E413" t="s">
        <v>54</v>
      </c>
    </row>
    <row r="414" spans="8:8">
      <c r="A414">
        <v>413.0</v>
      </c>
      <c r="B414" t="s">
        <v>39</v>
      </c>
      <c r="C414" t="s">
        <v>2294</v>
      </c>
      <c r="E414" t="s">
        <v>54</v>
      </c>
    </row>
    <row r="415" spans="8:8">
      <c r="A415">
        <v>414.0</v>
      </c>
      <c r="B415" t="s">
        <v>36</v>
      </c>
      <c r="C415" t="s">
        <v>2295</v>
      </c>
      <c r="E415" t="s">
        <v>54</v>
      </c>
    </row>
    <row r="416" spans="8:8">
      <c r="A416">
        <v>415.0</v>
      </c>
      <c r="B416" t="s">
        <v>39</v>
      </c>
      <c r="C416" t="s">
        <v>2296</v>
      </c>
      <c r="E416" t="s">
        <v>54</v>
      </c>
    </row>
    <row r="417" spans="8:8">
      <c r="A417">
        <v>416.0</v>
      </c>
      <c r="B417" t="s">
        <v>42</v>
      </c>
      <c r="C417" t="s">
        <v>2297</v>
      </c>
      <c r="E417" t="s">
        <v>54</v>
      </c>
    </row>
    <row r="418" spans="8:8">
      <c r="A418">
        <v>417.0</v>
      </c>
      <c r="B418" t="s">
        <v>36</v>
      </c>
      <c r="C418" t="s">
        <v>2298</v>
      </c>
      <c r="E418" t="s">
        <v>54</v>
      </c>
    </row>
    <row r="419" spans="8:8">
      <c r="A419">
        <v>418.0</v>
      </c>
      <c r="B419" t="s">
        <v>39</v>
      </c>
      <c r="C419" t="s">
        <v>2299</v>
      </c>
      <c r="E419" t="s">
        <v>54</v>
      </c>
    </row>
    <row r="420" spans="8:8">
      <c r="A420">
        <v>419.0</v>
      </c>
      <c r="B420" t="s">
        <v>36</v>
      </c>
      <c r="C420" t="s">
        <v>2300</v>
      </c>
      <c r="E420" t="s">
        <v>54</v>
      </c>
    </row>
    <row r="421" spans="8:8">
      <c r="A421">
        <v>420.0</v>
      </c>
      <c r="B421" t="s">
        <v>36</v>
      </c>
      <c r="C421" t="s">
        <v>124</v>
      </c>
      <c r="E421" t="s">
        <v>54</v>
      </c>
    </row>
    <row r="422" spans="8:8">
      <c r="A422">
        <v>421.0</v>
      </c>
      <c r="B422" t="s">
        <v>36</v>
      </c>
      <c r="C422" t="s">
        <v>2301</v>
      </c>
      <c r="E422" t="s">
        <v>54</v>
      </c>
    </row>
    <row r="423" spans="8:8">
      <c r="A423">
        <v>422.0</v>
      </c>
      <c r="B423" t="s">
        <v>39</v>
      </c>
      <c r="C423" t="s">
        <v>2302</v>
      </c>
      <c r="E423" t="s">
        <v>54</v>
      </c>
    </row>
    <row r="424" spans="8:8">
      <c r="A424">
        <v>423.0</v>
      </c>
      <c r="B424" t="s">
        <v>36</v>
      </c>
      <c r="C424" t="s">
        <v>2303</v>
      </c>
      <c r="E424" t="s">
        <v>54</v>
      </c>
    </row>
    <row r="425" spans="8:8">
      <c r="A425">
        <v>424.0</v>
      </c>
      <c r="B425" t="s">
        <v>36</v>
      </c>
      <c r="C425" t="s">
        <v>609</v>
      </c>
      <c r="E425" t="s">
        <v>54</v>
      </c>
    </row>
    <row r="426" spans="8:8">
      <c r="A426">
        <v>425.0</v>
      </c>
      <c r="B426" t="s">
        <v>42</v>
      </c>
      <c r="C426" t="s">
        <v>2304</v>
      </c>
      <c r="E426" t="s">
        <v>54</v>
      </c>
    </row>
    <row r="427" spans="8:8">
      <c r="A427">
        <v>426.0</v>
      </c>
      <c r="B427" t="s">
        <v>42</v>
      </c>
      <c r="C427" t="s">
        <v>2305</v>
      </c>
      <c r="E427" t="s">
        <v>54</v>
      </c>
    </row>
    <row r="428" spans="8:8">
      <c r="A428">
        <v>427.0</v>
      </c>
      <c r="B428" t="s">
        <v>30</v>
      </c>
      <c r="C428" t="s">
        <v>2306</v>
      </c>
      <c r="E428" t="s">
        <v>54</v>
      </c>
    </row>
    <row r="429" spans="8:8">
      <c r="A429">
        <v>428.0</v>
      </c>
      <c r="B429" t="s">
        <v>42</v>
      </c>
      <c r="C429" t="s">
        <v>2307</v>
      </c>
      <c r="E429" t="s">
        <v>54</v>
      </c>
    </row>
    <row r="430" spans="8:8">
      <c r="A430">
        <v>429.0</v>
      </c>
      <c r="B430" t="s">
        <v>42</v>
      </c>
      <c r="C430" t="s">
        <v>2308</v>
      </c>
      <c r="E430" t="s">
        <v>54</v>
      </c>
    </row>
    <row r="431" spans="8:8">
      <c r="A431">
        <v>430.0</v>
      </c>
      <c r="B431" t="s">
        <v>36</v>
      </c>
      <c r="C431" t="s">
        <v>2309</v>
      </c>
      <c r="E431" t="s">
        <v>54</v>
      </c>
    </row>
    <row r="432" spans="8:8">
      <c r="A432">
        <v>431.0</v>
      </c>
      <c r="B432" t="s">
        <v>33</v>
      </c>
      <c r="C432" t="s">
        <v>2310</v>
      </c>
      <c r="E432" t="s">
        <v>54</v>
      </c>
    </row>
    <row r="433" spans="8:8">
      <c r="A433">
        <v>432.0</v>
      </c>
      <c r="B433" t="s">
        <v>39</v>
      </c>
      <c r="C433" t="s">
        <v>2311</v>
      </c>
      <c r="E433" t="s">
        <v>54</v>
      </c>
    </row>
    <row r="434" spans="8:8">
      <c r="A434">
        <v>433.0</v>
      </c>
      <c r="B434" t="s">
        <v>39</v>
      </c>
      <c r="C434" t="s">
        <v>2312</v>
      </c>
      <c r="E434" t="s">
        <v>54</v>
      </c>
    </row>
    <row r="435" spans="8:8">
      <c r="A435">
        <v>434.0</v>
      </c>
      <c r="B435" t="s">
        <v>36</v>
      </c>
      <c r="C435" t="s">
        <v>2313</v>
      </c>
      <c r="E435" t="s">
        <v>54</v>
      </c>
    </row>
    <row r="436" spans="8:8">
      <c r="A436">
        <v>435.0</v>
      </c>
      <c r="B436" t="s">
        <v>39</v>
      </c>
      <c r="C436" t="s">
        <v>2314</v>
      </c>
      <c r="E436" t="s">
        <v>54</v>
      </c>
    </row>
    <row r="437" spans="8:8">
      <c r="A437">
        <v>436.0</v>
      </c>
      <c r="B437" t="s">
        <v>33</v>
      </c>
      <c r="C437" t="s">
        <v>2315</v>
      </c>
      <c r="E437" t="s">
        <v>54</v>
      </c>
    </row>
    <row r="438" spans="8:8">
      <c r="A438">
        <v>437.0</v>
      </c>
      <c r="B438" t="s">
        <v>36</v>
      </c>
      <c r="C438" t="s">
        <v>2316</v>
      </c>
      <c r="E438" t="s">
        <v>54</v>
      </c>
    </row>
    <row r="439" spans="8:8">
      <c r="A439">
        <v>438.0</v>
      </c>
      <c r="B439" t="s">
        <v>36</v>
      </c>
      <c r="C439" t="s">
        <v>2317</v>
      </c>
      <c r="E439" t="s">
        <v>54</v>
      </c>
    </row>
    <row r="440" spans="8:8">
      <c r="A440">
        <v>439.0</v>
      </c>
      <c r="B440" t="s">
        <v>30</v>
      </c>
      <c r="C440" t="s">
        <v>2318</v>
      </c>
      <c r="E440" t="s">
        <v>54</v>
      </c>
    </row>
    <row r="441" spans="8:8">
      <c r="A441">
        <v>440.0</v>
      </c>
      <c r="B441" t="s">
        <v>36</v>
      </c>
      <c r="C441" t="s">
        <v>2319</v>
      </c>
      <c r="E441" t="s">
        <v>54</v>
      </c>
    </row>
    <row r="442" spans="8:8">
      <c r="A442">
        <v>441.0</v>
      </c>
      <c r="B442" t="s">
        <v>42</v>
      </c>
      <c r="C442" t="s">
        <v>2320</v>
      </c>
      <c r="E442" t="s">
        <v>54</v>
      </c>
    </row>
    <row r="443" spans="8:8">
      <c r="A443">
        <v>442.0</v>
      </c>
      <c r="B443" t="s">
        <v>36</v>
      </c>
      <c r="C443" t="s">
        <v>2321</v>
      </c>
      <c r="E443" t="s">
        <v>54</v>
      </c>
    </row>
    <row r="444" spans="8:8">
      <c r="A444">
        <v>443.0</v>
      </c>
      <c r="B444" t="s">
        <v>30</v>
      </c>
      <c r="C444" t="s">
        <v>2322</v>
      </c>
      <c r="E444" t="s">
        <v>54</v>
      </c>
    </row>
    <row r="445" spans="8:8">
      <c r="A445">
        <v>444.0</v>
      </c>
      <c r="B445" t="s">
        <v>33</v>
      </c>
      <c r="C445" t="s">
        <v>2323</v>
      </c>
      <c r="E445" t="s">
        <v>54</v>
      </c>
    </row>
    <row r="446" spans="8:8">
      <c r="A446">
        <v>445.0</v>
      </c>
      <c r="B446" t="s">
        <v>30</v>
      </c>
      <c r="C446" t="s">
        <v>2324</v>
      </c>
      <c r="E446" t="s">
        <v>54</v>
      </c>
    </row>
    <row r="447" spans="8:8">
      <c r="A447">
        <v>446.0</v>
      </c>
      <c r="B447" t="s">
        <v>36</v>
      </c>
      <c r="C447" t="s">
        <v>2325</v>
      </c>
      <c r="E447" t="s">
        <v>54</v>
      </c>
    </row>
    <row r="448" spans="8:8">
      <c r="A448">
        <v>447.0</v>
      </c>
      <c r="B448" t="s">
        <v>33</v>
      </c>
      <c r="C448" t="s">
        <v>2326</v>
      </c>
      <c r="E448" t="s">
        <v>54</v>
      </c>
    </row>
    <row r="449" spans="8:8">
      <c r="A449">
        <v>448.0</v>
      </c>
      <c r="B449" t="s">
        <v>39</v>
      </c>
      <c r="C449" t="s">
        <v>2327</v>
      </c>
      <c r="E449" t="s">
        <v>54</v>
      </c>
    </row>
    <row r="450" spans="8:8">
      <c r="A450">
        <v>449.0</v>
      </c>
      <c r="B450" t="s">
        <v>36</v>
      </c>
      <c r="C450" t="s">
        <v>2328</v>
      </c>
      <c r="E450" t="s">
        <v>54</v>
      </c>
    </row>
    <row r="451" spans="8:8">
      <c r="A451">
        <v>450.0</v>
      </c>
      <c r="B451" t="s">
        <v>39</v>
      </c>
      <c r="C451" t="s">
        <v>2329</v>
      </c>
      <c r="E451" t="s">
        <v>54</v>
      </c>
    </row>
    <row r="452" spans="8:8">
      <c r="A452">
        <v>451.0</v>
      </c>
      <c r="B452" t="s">
        <v>30</v>
      </c>
      <c r="C452" t="s">
        <v>2330</v>
      </c>
      <c r="D452" s="37" t="s">
        <v>2331</v>
      </c>
      <c r="E452" t="s">
        <v>54</v>
      </c>
    </row>
    <row r="453" spans="8:8">
      <c r="A453">
        <v>452.0</v>
      </c>
      <c r="B453" t="s">
        <v>39</v>
      </c>
      <c r="C453" t="s">
        <v>2332</v>
      </c>
      <c r="E453" t="s">
        <v>54</v>
      </c>
    </row>
    <row r="454" spans="8:8">
      <c r="A454">
        <v>453.0</v>
      </c>
      <c r="B454" t="s">
        <v>30</v>
      </c>
      <c r="C454" t="s">
        <v>2333</v>
      </c>
      <c r="E454" t="s">
        <v>54</v>
      </c>
    </row>
    <row r="455" spans="8:8">
      <c r="A455">
        <v>454.0</v>
      </c>
      <c r="B455" t="s">
        <v>30</v>
      </c>
      <c r="C455" t="s">
        <v>2334</v>
      </c>
      <c r="E455" t="s">
        <v>54</v>
      </c>
    </row>
    <row r="456" spans="8:8">
      <c r="A456">
        <v>455.0</v>
      </c>
      <c r="B456" t="s">
        <v>42</v>
      </c>
      <c r="C456" t="s">
        <v>2335</v>
      </c>
      <c r="E456" t="s">
        <v>54</v>
      </c>
    </row>
    <row r="457" spans="8:8">
      <c r="A457">
        <v>456.0</v>
      </c>
      <c r="B457" t="s">
        <v>42</v>
      </c>
      <c r="C457" t="s">
        <v>2336</v>
      </c>
      <c r="E457" t="s">
        <v>54</v>
      </c>
    </row>
    <row r="458" spans="8:8">
      <c r="A458">
        <v>457.0</v>
      </c>
      <c r="B458" t="s">
        <v>42</v>
      </c>
      <c r="C458" t="s">
        <v>2337</v>
      </c>
      <c r="E458" t="s">
        <v>54</v>
      </c>
    </row>
    <row r="459" spans="8:8">
      <c r="A459">
        <v>458.0</v>
      </c>
      <c r="B459" t="s">
        <v>42</v>
      </c>
      <c r="C459" t="s">
        <v>2338</v>
      </c>
      <c r="E459" t="s">
        <v>54</v>
      </c>
    </row>
    <row r="460" spans="8:8">
      <c r="A460">
        <v>459.0</v>
      </c>
      <c r="B460" t="s">
        <v>39</v>
      </c>
      <c r="C460" t="s">
        <v>2339</v>
      </c>
      <c r="E460" t="s">
        <v>54</v>
      </c>
    </row>
    <row r="461" spans="8:8">
      <c r="A461">
        <v>460.0</v>
      </c>
      <c r="B461" t="s">
        <v>30</v>
      </c>
      <c r="C461" t="s">
        <v>2340</v>
      </c>
      <c r="E461" t="s">
        <v>54</v>
      </c>
    </row>
    <row r="462" spans="8:8">
      <c r="A462">
        <v>461.0</v>
      </c>
      <c r="B462" t="s">
        <v>42</v>
      </c>
      <c r="C462" t="s">
        <v>2341</v>
      </c>
      <c r="E462" t="s">
        <v>54</v>
      </c>
    </row>
    <row r="463" spans="8:8">
      <c r="A463">
        <v>462.0</v>
      </c>
      <c r="B463" t="s">
        <v>42</v>
      </c>
      <c r="C463" t="s">
        <v>2342</v>
      </c>
      <c r="E463" t="s">
        <v>54</v>
      </c>
    </row>
    <row r="464" spans="8:8">
      <c r="A464">
        <v>463.0</v>
      </c>
      <c r="B464" t="s">
        <v>36</v>
      </c>
      <c r="C464" t="s">
        <v>2343</v>
      </c>
      <c r="E464" t="s">
        <v>54</v>
      </c>
    </row>
    <row r="465" spans="8:8">
      <c r="A465">
        <v>464.0</v>
      </c>
      <c r="B465" t="s">
        <v>39</v>
      </c>
      <c r="C465" t="s">
        <v>2344</v>
      </c>
      <c r="E465" t="s">
        <v>54</v>
      </c>
    </row>
    <row r="466" spans="8:8">
      <c r="A466">
        <v>465.0</v>
      </c>
      <c r="B466" t="s">
        <v>30</v>
      </c>
      <c r="C466" t="s">
        <v>2345</v>
      </c>
      <c r="E466" t="s">
        <v>54</v>
      </c>
    </row>
    <row r="467" spans="8:8">
      <c r="A467">
        <v>466.0</v>
      </c>
      <c r="B467" t="s">
        <v>30</v>
      </c>
      <c r="C467" t="s">
        <v>2346</v>
      </c>
      <c r="E467" t="s">
        <v>54</v>
      </c>
    </row>
    <row r="468" spans="8:8">
      <c r="A468">
        <v>467.0</v>
      </c>
      <c r="B468" t="s">
        <v>30</v>
      </c>
      <c r="C468" t="s">
        <v>2347</v>
      </c>
      <c r="E468" t="s">
        <v>54</v>
      </c>
    </row>
    <row r="469" spans="8:8">
      <c r="A469">
        <v>468.0</v>
      </c>
      <c r="B469" t="s">
        <v>42</v>
      </c>
      <c r="C469" t="s">
        <v>2348</v>
      </c>
      <c r="E469" t="s">
        <v>54</v>
      </c>
    </row>
    <row r="470" spans="8:8">
      <c r="A470">
        <v>469.0</v>
      </c>
      <c r="B470" t="s">
        <v>42</v>
      </c>
      <c r="C470" t="s">
        <v>2349</v>
      </c>
      <c r="E470" t="s">
        <v>54</v>
      </c>
    </row>
    <row r="471" spans="8:8">
      <c r="A471">
        <v>470.0</v>
      </c>
      <c r="B471" t="s">
        <v>42</v>
      </c>
      <c r="C471" t="s">
        <v>2350</v>
      </c>
      <c r="E471" t="s">
        <v>54</v>
      </c>
    </row>
    <row r="472" spans="8:8">
      <c r="A472">
        <v>471.0</v>
      </c>
      <c r="B472" t="s">
        <v>39</v>
      </c>
      <c r="C472" t="s">
        <v>2351</v>
      </c>
      <c r="E472" t="s">
        <v>54</v>
      </c>
    </row>
    <row r="473" spans="8:8">
      <c r="A473">
        <v>472.0</v>
      </c>
      <c r="B473" t="s">
        <v>39</v>
      </c>
      <c r="C473" t="s">
        <v>2352</v>
      </c>
      <c r="E473" t="s">
        <v>54</v>
      </c>
    </row>
    <row r="474" spans="8:8">
      <c r="A474">
        <v>473.0</v>
      </c>
      <c r="B474" t="s">
        <v>39</v>
      </c>
      <c r="C474" t="s">
        <v>2353</v>
      </c>
      <c r="E474" t="s">
        <v>54</v>
      </c>
    </row>
    <row r="475" spans="8:8">
      <c r="A475">
        <v>474.0</v>
      </c>
      <c r="B475" t="s">
        <v>39</v>
      </c>
      <c r="C475" t="s">
        <v>2354</v>
      </c>
      <c r="E475" t="s">
        <v>54</v>
      </c>
    </row>
    <row r="476" spans="8:8">
      <c r="A476">
        <v>475.0</v>
      </c>
      <c r="B476" t="s">
        <v>42</v>
      </c>
      <c r="C476" t="s">
        <v>2355</v>
      </c>
      <c r="E476" t="s">
        <v>54</v>
      </c>
    </row>
    <row r="477" spans="8:8">
      <c r="A477">
        <v>476.0</v>
      </c>
      <c r="B477" t="s">
        <v>42</v>
      </c>
      <c r="C477" t="s">
        <v>2356</v>
      </c>
      <c r="E477" t="s">
        <v>54</v>
      </c>
    </row>
    <row r="478" spans="8:8">
      <c r="A478">
        <v>477.0</v>
      </c>
      <c r="B478" t="s">
        <v>42</v>
      </c>
      <c r="C478" t="s">
        <v>2357</v>
      </c>
      <c r="E478" t="s">
        <v>54</v>
      </c>
    </row>
    <row r="479" spans="8:8">
      <c r="B479" s="37"/>
    </row>
  </sheetData>
  <sheetProtection sheet="0" formatCells="0" insertHyperlinks="0" autoFilter="0"/>
  <autoFilter ref="B1:B479">
    <filterColumn colId="0" showButton="1"/>
  </autoFilter>
  <pageMargins left="0.7" right="0.7" top="0.75" bottom="0.75" header="0.3" footer="0.3"/>
</worksheet>
</file>

<file path=xl/worksheets/sheet7.xml><?xml version="1.0" encoding="utf-8"?>
<worksheet xmlns:r="http://schemas.openxmlformats.org/officeDocument/2006/relationships" xmlns="http://schemas.openxmlformats.org/spreadsheetml/2006/main">
  <sheetPr>
    <tabColor rgb="FF7030A0"/>
  </sheetPr>
  <dimension ref="A1:G232"/>
  <sheetViews>
    <sheetView workbookViewId="0">
      <selection activeCell="D228" sqref="D228"/>
    </sheetView>
  </sheetViews>
  <sheetFormatPr defaultRowHeight="13.5" defaultColWidth="9"/>
  <cols>
    <col min="1" max="3" customWidth="1" width="10.625" style="0"/>
    <col min="4" max="4" customWidth="1" width="65.625" style="0"/>
    <col min="5" max="5" customWidth="1" width="10.625" style="0"/>
  </cols>
  <sheetData>
    <row r="1" spans="8:8">
      <c r="A1" t="s">
        <v>105</v>
      </c>
      <c r="B1" t="s">
        <v>17</v>
      </c>
      <c r="C1" t="s">
        <v>106</v>
      </c>
      <c r="D1" t="s">
        <v>107</v>
      </c>
      <c r="E1" t="s">
        <v>108</v>
      </c>
    </row>
    <row r="2" spans="8:8">
      <c r="A2">
        <v>1.0</v>
      </c>
      <c r="B2" t="s">
        <v>36</v>
      </c>
      <c r="C2" t="s">
        <v>2358</v>
      </c>
      <c r="D2" t="s">
        <v>2359</v>
      </c>
    </row>
    <row r="3" spans="8:8">
      <c r="A3">
        <v>2.0</v>
      </c>
      <c r="B3" t="s">
        <v>36</v>
      </c>
      <c r="C3" t="s">
        <v>2360</v>
      </c>
      <c r="D3" t="s">
        <v>2361</v>
      </c>
    </row>
    <row r="4" spans="8:8">
      <c r="A4">
        <v>3.0</v>
      </c>
      <c r="B4" t="s">
        <v>36</v>
      </c>
      <c r="C4" t="s">
        <v>2362</v>
      </c>
      <c r="D4" t="s">
        <v>2363</v>
      </c>
    </row>
    <row r="5" spans="8:8">
      <c r="A5">
        <v>4.0</v>
      </c>
      <c r="B5" t="s">
        <v>36</v>
      </c>
      <c r="C5" t="s">
        <v>2364</v>
      </c>
      <c r="D5" t="s">
        <v>2365</v>
      </c>
    </row>
    <row r="6" spans="8:8">
      <c r="A6">
        <v>5.0</v>
      </c>
      <c r="B6" t="s">
        <v>36</v>
      </c>
      <c r="C6" t="s">
        <v>2366</v>
      </c>
      <c r="D6" t="s">
        <v>2367</v>
      </c>
    </row>
    <row r="7" spans="8:8">
      <c r="A7">
        <v>6.0</v>
      </c>
      <c r="B7" t="s">
        <v>36</v>
      </c>
      <c r="C7" t="s">
        <v>2368</v>
      </c>
      <c r="D7" t="s">
        <v>2369</v>
      </c>
    </row>
    <row r="8" spans="8:8">
      <c r="A8">
        <v>7.0</v>
      </c>
      <c r="B8" t="s">
        <v>36</v>
      </c>
      <c r="C8" t="s">
        <v>2370</v>
      </c>
      <c r="D8" t="s">
        <v>2371</v>
      </c>
    </row>
    <row r="9" spans="8:8">
      <c r="A9">
        <v>8.0</v>
      </c>
      <c r="B9" t="s">
        <v>36</v>
      </c>
      <c r="C9" t="s">
        <v>2372</v>
      </c>
      <c r="D9" t="s">
        <v>2373</v>
      </c>
    </row>
    <row r="10" spans="8:8">
      <c r="A10">
        <v>9.0</v>
      </c>
      <c r="B10" t="s">
        <v>36</v>
      </c>
      <c r="C10" t="s">
        <v>2374</v>
      </c>
      <c r="D10" t="s">
        <v>2375</v>
      </c>
    </row>
    <row r="11" spans="8:8">
      <c r="A11">
        <v>10.0</v>
      </c>
      <c r="B11" t="s">
        <v>36</v>
      </c>
      <c r="C11" t="s">
        <v>2376</v>
      </c>
      <c r="D11" t="s">
        <v>2377</v>
      </c>
    </row>
    <row r="12" spans="8:8">
      <c r="A12">
        <v>11.0</v>
      </c>
      <c r="B12" t="s">
        <v>36</v>
      </c>
      <c r="C12" t="s">
        <v>2378</v>
      </c>
      <c r="D12" t="s">
        <v>2379</v>
      </c>
    </row>
    <row r="13" spans="8:8">
      <c r="A13">
        <v>12.0</v>
      </c>
      <c r="B13" t="s">
        <v>36</v>
      </c>
      <c r="C13" t="s">
        <v>2380</v>
      </c>
      <c r="D13" t="s">
        <v>2381</v>
      </c>
    </row>
    <row r="14" spans="8:8">
      <c r="A14">
        <v>13.0</v>
      </c>
      <c r="B14" t="s">
        <v>36</v>
      </c>
      <c r="C14" t="s">
        <v>141</v>
      </c>
      <c r="D14" t="s">
        <v>2382</v>
      </c>
    </row>
    <row r="15" spans="8:8">
      <c r="A15">
        <v>14.0</v>
      </c>
      <c r="B15" t="s">
        <v>36</v>
      </c>
      <c r="C15" t="s">
        <v>2383</v>
      </c>
      <c r="D15" t="s">
        <v>2384</v>
      </c>
    </row>
    <row r="16" spans="8:8">
      <c r="A16">
        <v>15.0</v>
      </c>
      <c r="B16" s="39" t="s">
        <v>33</v>
      </c>
      <c r="C16" s="39" t="s">
        <v>2385</v>
      </c>
      <c r="D16" s="39" t="s">
        <v>2386</v>
      </c>
    </row>
    <row r="17" spans="8:8">
      <c r="A17">
        <v>16.0</v>
      </c>
      <c r="B17" s="39" t="s">
        <v>33</v>
      </c>
      <c r="C17" t="s">
        <v>2387</v>
      </c>
      <c r="D17" t="s">
        <v>2388</v>
      </c>
    </row>
    <row r="18" spans="8:8">
      <c r="A18">
        <v>17.0</v>
      </c>
      <c r="B18" s="39" t="s">
        <v>33</v>
      </c>
      <c r="C18" t="s">
        <v>2389</v>
      </c>
      <c r="D18" t="s">
        <v>2390</v>
      </c>
    </row>
    <row r="19" spans="8:8">
      <c r="A19">
        <v>18.0</v>
      </c>
      <c r="B19" s="39" t="s">
        <v>33</v>
      </c>
      <c r="C19" t="s">
        <v>2391</v>
      </c>
      <c r="D19" t="s">
        <v>2392</v>
      </c>
    </row>
    <row r="20" spans="8:8">
      <c r="A20">
        <v>19.0</v>
      </c>
      <c r="B20" s="39" t="s">
        <v>33</v>
      </c>
      <c r="C20" t="s">
        <v>2393</v>
      </c>
      <c r="D20" t="s">
        <v>2394</v>
      </c>
    </row>
    <row r="21" spans="8:8">
      <c r="A21">
        <v>20.0</v>
      </c>
      <c r="B21" s="39" t="s">
        <v>33</v>
      </c>
      <c r="C21" t="s">
        <v>2395</v>
      </c>
      <c r="D21" t="s">
        <v>2396</v>
      </c>
    </row>
    <row r="22" spans="8:8">
      <c r="A22">
        <v>21.0</v>
      </c>
      <c r="B22" s="39" t="s">
        <v>33</v>
      </c>
      <c r="C22" t="s">
        <v>2397</v>
      </c>
      <c r="D22" t="s">
        <v>2398</v>
      </c>
    </row>
    <row r="23" spans="8:8">
      <c r="A23">
        <v>22.0</v>
      </c>
      <c r="B23" s="39" t="s">
        <v>33</v>
      </c>
      <c r="C23" t="s">
        <v>2399</v>
      </c>
      <c r="D23" t="s">
        <v>2400</v>
      </c>
    </row>
    <row r="24" spans="8:8">
      <c r="A24">
        <v>23.0</v>
      </c>
      <c r="B24" s="39" t="s">
        <v>33</v>
      </c>
      <c r="C24" t="s">
        <v>2401</v>
      </c>
      <c r="D24" t="s">
        <v>2402</v>
      </c>
    </row>
    <row r="25" spans="8:8">
      <c r="A25">
        <v>24.0</v>
      </c>
      <c r="B25" s="39" t="s">
        <v>33</v>
      </c>
      <c r="C25" t="s">
        <v>2403</v>
      </c>
      <c r="D25" t="s">
        <v>2404</v>
      </c>
    </row>
    <row r="26" spans="8:8">
      <c r="A26">
        <v>25.0</v>
      </c>
      <c r="B26" s="39" t="s">
        <v>33</v>
      </c>
      <c r="C26" t="s">
        <v>2405</v>
      </c>
      <c r="D26" t="s">
        <v>2406</v>
      </c>
    </row>
    <row r="27" spans="8:8">
      <c r="A27">
        <v>26.0</v>
      </c>
      <c r="B27" s="39" t="s">
        <v>33</v>
      </c>
      <c r="C27" s="37" t="s">
        <v>2407</v>
      </c>
      <c r="D27" t="s">
        <v>2408</v>
      </c>
    </row>
    <row r="28" spans="8:8">
      <c r="A28">
        <v>27.0</v>
      </c>
      <c r="B28" s="39" t="s">
        <v>33</v>
      </c>
      <c r="C28" t="s">
        <v>2409</v>
      </c>
      <c r="D28" t="s">
        <v>2410</v>
      </c>
    </row>
    <row r="29" spans="8:8">
      <c r="A29">
        <v>28.0</v>
      </c>
      <c r="B29" s="39" t="s">
        <v>33</v>
      </c>
      <c r="C29" t="s">
        <v>2411</v>
      </c>
      <c r="D29" t="s">
        <v>2412</v>
      </c>
    </row>
    <row r="30" spans="8:8">
      <c r="A30">
        <v>29.0</v>
      </c>
      <c r="B30" s="39" t="s">
        <v>33</v>
      </c>
      <c r="C30" t="s">
        <v>2413</v>
      </c>
      <c r="D30" t="s">
        <v>2414</v>
      </c>
    </row>
    <row r="31" spans="8:8">
      <c r="A31">
        <v>30.0</v>
      </c>
      <c r="B31" s="39" t="s">
        <v>33</v>
      </c>
      <c r="C31" t="s">
        <v>2415</v>
      </c>
      <c r="D31" t="s">
        <v>2416</v>
      </c>
    </row>
    <row r="32" spans="8:8">
      <c r="A32">
        <v>31.0</v>
      </c>
      <c r="B32" s="39" t="s">
        <v>33</v>
      </c>
      <c r="C32" t="s">
        <v>2417</v>
      </c>
      <c r="D32" t="s">
        <v>2418</v>
      </c>
    </row>
    <row r="33" spans="8:8">
      <c r="A33">
        <v>32.0</v>
      </c>
      <c r="B33" s="39" t="s">
        <v>33</v>
      </c>
      <c r="C33" t="s">
        <v>2419</v>
      </c>
      <c r="D33" t="s">
        <v>2420</v>
      </c>
    </row>
    <row r="34" spans="8:8">
      <c r="A34">
        <v>33.0</v>
      </c>
      <c r="B34" s="39" t="s">
        <v>33</v>
      </c>
      <c r="C34" t="s">
        <v>2421</v>
      </c>
      <c r="D34" t="s">
        <v>2422</v>
      </c>
    </row>
    <row r="35" spans="8:8">
      <c r="A35">
        <v>34.0</v>
      </c>
      <c r="B35" s="39" t="s">
        <v>33</v>
      </c>
      <c r="C35" t="s">
        <v>2423</v>
      </c>
      <c r="D35" t="s">
        <v>2424</v>
      </c>
    </row>
    <row r="36" spans="8:8">
      <c r="A36">
        <v>35.0</v>
      </c>
      <c r="B36" s="39" t="s">
        <v>33</v>
      </c>
      <c r="C36" t="s">
        <v>2425</v>
      </c>
      <c r="D36" t="s">
        <v>2426</v>
      </c>
    </row>
    <row r="37" spans="8:8">
      <c r="A37">
        <v>36.0</v>
      </c>
      <c r="B37" s="39" t="s">
        <v>33</v>
      </c>
      <c r="C37" t="s">
        <v>2427</v>
      </c>
      <c r="D37" t="s">
        <v>2428</v>
      </c>
    </row>
    <row r="38" spans="8:8">
      <c r="A38">
        <v>37.0</v>
      </c>
      <c r="B38" s="39" t="s">
        <v>33</v>
      </c>
      <c r="C38" t="s">
        <v>2429</v>
      </c>
      <c r="D38" t="s">
        <v>2430</v>
      </c>
    </row>
    <row r="39" spans="8:8">
      <c r="A39">
        <v>38.0</v>
      </c>
      <c r="B39" t="s">
        <v>30</v>
      </c>
      <c r="C39" t="s">
        <v>2431</v>
      </c>
      <c r="D39" t="s">
        <v>2432</v>
      </c>
    </row>
    <row r="40" spans="8:8">
      <c r="A40">
        <v>39.0</v>
      </c>
      <c r="B40" t="s">
        <v>30</v>
      </c>
      <c r="C40" t="s">
        <v>2433</v>
      </c>
      <c r="D40" t="s">
        <v>2434</v>
      </c>
    </row>
    <row r="41" spans="8:8">
      <c r="A41">
        <v>40.0</v>
      </c>
      <c r="B41" t="s">
        <v>30</v>
      </c>
      <c r="C41" t="s">
        <v>2435</v>
      </c>
      <c r="D41" t="s">
        <v>2436</v>
      </c>
    </row>
    <row r="42" spans="8:8">
      <c r="A42">
        <v>41.0</v>
      </c>
      <c r="B42" t="s">
        <v>30</v>
      </c>
      <c r="C42" t="s">
        <v>2437</v>
      </c>
      <c r="D42" t="s">
        <v>2438</v>
      </c>
    </row>
    <row r="43" spans="8:8">
      <c r="A43">
        <v>42.0</v>
      </c>
      <c r="B43" t="s">
        <v>30</v>
      </c>
      <c r="C43" t="s">
        <v>2439</v>
      </c>
      <c r="D43" t="s">
        <v>2440</v>
      </c>
    </row>
    <row r="44" spans="8:8">
      <c r="A44">
        <v>43.0</v>
      </c>
      <c r="B44" t="s">
        <v>30</v>
      </c>
      <c r="C44" t="s">
        <v>2441</v>
      </c>
      <c r="D44" t="s">
        <v>2442</v>
      </c>
    </row>
    <row r="45" spans="8:8">
      <c r="A45">
        <v>44.0</v>
      </c>
      <c r="B45" t="s">
        <v>30</v>
      </c>
      <c r="C45" t="s">
        <v>2443</v>
      </c>
      <c r="D45" t="s">
        <v>2444</v>
      </c>
    </row>
    <row r="46" spans="8:8">
      <c r="A46">
        <v>45.0</v>
      </c>
      <c r="B46" t="s">
        <v>30</v>
      </c>
      <c r="C46" t="s">
        <v>2445</v>
      </c>
      <c r="D46" t="s">
        <v>2446</v>
      </c>
    </row>
    <row r="47" spans="8:8">
      <c r="A47">
        <v>46.0</v>
      </c>
      <c r="B47" t="s">
        <v>30</v>
      </c>
      <c r="C47" t="s">
        <v>2447</v>
      </c>
      <c r="D47" t="s">
        <v>2448</v>
      </c>
    </row>
    <row r="48" spans="8:8">
      <c r="A48">
        <v>47.0</v>
      </c>
      <c r="B48" t="s">
        <v>30</v>
      </c>
      <c r="C48" t="s">
        <v>1605</v>
      </c>
      <c r="D48" t="s">
        <v>2449</v>
      </c>
    </row>
    <row r="49" spans="8:8">
      <c r="A49">
        <v>48.0</v>
      </c>
      <c r="B49" t="s">
        <v>30</v>
      </c>
      <c r="C49" t="s">
        <v>2450</v>
      </c>
      <c r="D49" t="s">
        <v>2451</v>
      </c>
    </row>
    <row r="50" spans="8:8">
      <c r="A50">
        <v>49.0</v>
      </c>
      <c r="B50" t="s">
        <v>30</v>
      </c>
      <c r="C50" t="s">
        <v>2452</v>
      </c>
      <c r="D50" t="s">
        <v>2453</v>
      </c>
    </row>
    <row r="51" spans="8:8">
      <c r="A51">
        <v>50.0</v>
      </c>
      <c r="B51" t="s">
        <v>30</v>
      </c>
      <c r="C51" t="s">
        <v>2454</v>
      </c>
      <c r="D51" t="s">
        <v>2455</v>
      </c>
    </row>
    <row r="52" spans="8:8">
      <c r="A52">
        <v>51.0</v>
      </c>
      <c r="B52" t="s">
        <v>30</v>
      </c>
      <c r="C52" t="s">
        <v>2456</v>
      </c>
      <c r="D52" t="s">
        <v>2457</v>
      </c>
    </row>
    <row r="53" spans="8:8">
      <c r="A53">
        <v>52.0</v>
      </c>
      <c r="B53" t="s">
        <v>30</v>
      </c>
      <c r="C53" t="s">
        <v>2458</v>
      </c>
      <c r="D53" t="s">
        <v>2459</v>
      </c>
    </row>
    <row r="54" spans="8:8">
      <c r="A54">
        <v>53.0</v>
      </c>
      <c r="B54" t="s">
        <v>30</v>
      </c>
      <c r="C54" t="s">
        <v>2460</v>
      </c>
      <c r="D54" t="s">
        <v>2461</v>
      </c>
    </row>
    <row r="55" spans="8:8">
      <c r="A55">
        <v>54.0</v>
      </c>
      <c r="B55" t="s">
        <v>30</v>
      </c>
      <c r="C55" t="s">
        <v>2462</v>
      </c>
      <c r="D55" t="s">
        <v>2463</v>
      </c>
    </row>
    <row r="56" spans="8:8">
      <c r="A56">
        <v>55.0</v>
      </c>
      <c r="B56" t="s">
        <v>30</v>
      </c>
      <c r="C56" t="s">
        <v>2464</v>
      </c>
      <c r="D56" t="s">
        <v>2465</v>
      </c>
    </row>
    <row r="57" spans="8:8">
      <c r="A57">
        <v>56.0</v>
      </c>
      <c r="B57" t="s">
        <v>30</v>
      </c>
      <c r="C57" t="s">
        <v>2466</v>
      </c>
      <c r="D57" t="s">
        <v>2467</v>
      </c>
    </row>
    <row r="58" spans="8:8">
      <c r="A58">
        <v>57.0</v>
      </c>
      <c r="B58" t="s">
        <v>30</v>
      </c>
      <c r="C58" t="s">
        <v>2468</v>
      </c>
      <c r="D58" t="s">
        <v>2469</v>
      </c>
    </row>
    <row r="59" spans="8:8">
      <c r="A59">
        <v>58.0</v>
      </c>
      <c r="B59" t="s">
        <v>30</v>
      </c>
      <c r="C59" t="s">
        <v>2470</v>
      </c>
      <c r="D59" t="s">
        <v>2471</v>
      </c>
    </row>
    <row r="60" spans="8:8">
      <c r="A60">
        <v>59.0</v>
      </c>
      <c r="B60" t="s">
        <v>30</v>
      </c>
      <c r="C60" t="s">
        <v>2472</v>
      </c>
      <c r="D60" t="s">
        <v>2473</v>
      </c>
    </row>
    <row r="61" spans="8:8">
      <c r="A61">
        <v>60.0</v>
      </c>
      <c r="B61" t="s">
        <v>30</v>
      </c>
      <c r="C61" t="s">
        <v>2474</v>
      </c>
      <c r="D61" t="s">
        <v>2475</v>
      </c>
    </row>
    <row r="62" spans="8:8">
      <c r="A62">
        <v>61.0</v>
      </c>
      <c r="B62" t="s">
        <v>30</v>
      </c>
      <c r="C62" t="s">
        <v>2476</v>
      </c>
      <c r="D62" t="s">
        <v>2477</v>
      </c>
    </row>
    <row r="63" spans="8:8">
      <c r="A63">
        <v>62.0</v>
      </c>
      <c r="B63" t="s">
        <v>30</v>
      </c>
      <c r="C63" t="s">
        <v>2478</v>
      </c>
      <c r="D63" t="s">
        <v>2479</v>
      </c>
    </row>
    <row r="64" spans="8:8">
      <c r="A64">
        <v>63.0</v>
      </c>
      <c r="B64" t="s">
        <v>30</v>
      </c>
      <c r="C64" t="s">
        <v>2480</v>
      </c>
      <c r="D64" t="s">
        <v>2481</v>
      </c>
    </row>
    <row r="65" spans="8:8">
      <c r="A65">
        <v>64.0</v>
      </c>
      <c r="B65" t="s">
        <v>30</v>
      </c>
      <c r="C65" t="s">
        <v>2482</v>
      </c>
      <c r="D65" t="s">
        <v>2483</v>
      </c>
    </row>
    <row r="66" spans="8:8">
      <c r="A66">
        <v>65.0</v>
      </c>
      <c r="B66" t="s">
        <v>30</v>
      </c>
      <c r="C66" t="s">
        <v>2484</v>
      </c>
      <c r="D66" t="s">
        <v>2485</v>
      </c>
    </row>
    <row r="67" spans="8:8">
      <c r="A67">
        <v>66.0</v>
      </c>
      <c r="B67" t="s">
        <v>30</v>
      </c>
      <c r="C67" t="s">
        <v>2486</v>
      </c>
      <c r="D67" t="s">
        <v>2487</v>
      </c>
    </row>
    <row r="68" spans="8:8">
      <c r="A68">
        <v>67.0</v>
      </c>
      <c r="B68" t="s">
        <v>30</v>
      </c>
      <c r="C68" t="s">
        <v>2488</v>
      </c>
      <c r="D68" t="s">
        <v>2489</v>
      </c>
    </row>
    <row r="69" spans="8:8">
      <c r="A69">
        <v>68.0</v>
      </c>
      <c r="B69" t="s">
        <v>30</v>
      </c>
      <c r="C69" t="s">
        <v>2490</v>
      </c>
      <c r="D69" t="s">
        <v>2491</v>
      </c>
    </row>
    <row r="70" spans="8:8">
      <c r="A70">
        <v>69.0</v>
      </c>
      <c r="B70" t="s">
        <v>30</v>
      </c>
      <c r="C70" t="s">
        <v>2492</v>
      </c>
      <c r="D70" t="s">
        <v>2493</v>
      </c>
    </row>
    <row r="71" spans="8:8">
      <c r="A71">
        <v>70.0</v>
      </c>
      <c r="B71" t="s">
        <v>30</v>
      </c>
      <c r="C71" t="s">
        <v>2494</v>
      </c>
      <c r="D71" t="s">
        <v>2495</v>
      </c>
    </row>
    <row r="72" spans="8:8">
      <c r="A72">
        <v>71.0</v>
      </c>
      <c r="B72" t="s">
        <v>36</v>
      </c>
      <c r="C72" t="s">
        <v>2496</v>
      </c>
      <c r="D72" t="s">
        <v>2497</v>
      </c>
    </row>
    <row r="73" spans="8:8">
      <c r="A73">
        <v>72.0</v>
      </c>
      <c r="B73" t="s">
        <v>36</v>
      </c>
      <c r="C73" t="s">
        <v>2498</v>
      </c>
      <c r="D73" t="s">
        <v>2499</v>
      </c>
    </row>
    <row r="74" spans="8:8">
      <c r="A74">
        <v>73.0</v>
      </c>
      <c r="B74" t="s">
        <v>36</v>
      </c>
      <c r="C74" t="s">
        <v>2500</v>
      </c>
      <c r="D74" t="s">
        <v>2501</v>
      </c>
    </row>
    <row r="75" spans="8:8">
      <c r="A75">
        <v>74.0</v>
      </c>
      <c r="B75" t="s">
        <v>36</v>
      </c>
      <c r="C75" t="s">
        <v>2502</v>
      </c>
      <c r="D75" t="s">
        <v>2503</v>
      </c>
    </row>
    <row r="76" spans="8:8">
      <c r="A76">
        <v>75.0</v>
      </c>
      <c r="B76" t="s">
        <v>36</v>
      </c>
      <c r="C76" t="s">
        <v>2504</v>
      </c>
      <c r="D76" t="s">
        <v>2505</v>
      </c>
    </row>
    <row r="77" spans="8:8">
      <c r="A77">
        <v>76.0</v>
      </c>
      <c r="B77" t="s">
        <v>36</v>
      </c>
      <c r="C77" t="s">
        <v>501</v>
      </c>
      <c r="D77" t="s">
        <v>2506</v>
      </c>
    </row>
    <row r="78" spans="8:8">
      <c r="A78">
        <v>77.0</v>
      </c>
      <c r="B78" t="s">
        <v>36</v>
      </c>
      <c r="C78" t="s">
        <v>2507</v>
      </c>
      <c r="D78" t="s">
        <v>2508</v>
      </c>
    </row>
    <row r="79" spans="8:8">
      <c r="A79">
        <v>78.0</v>
      </c>
      <c r="B79" t="s">
        <v>36</v>
      </c>
      <c r="C79" t="s">
        <v>2509</v>
      </c>
      <c r="D79" t="s">
        <v>2510</v>
      </c>
    </row>
    <row r="80" spans="8:8">
      <c r="A80">
        <v>79.0</v>
      </c>
      <c r="B80" t="s">
        <v>36</v>
      </c>
      <c r="C80" t="s">
        <v>2511</v>
      </c>
      <c r="D80" t="s">
        <v>2512</v>
      </c>
    </row>
    <row r="81" spans="8:8">
      <c r="A81">
        <v>80.0</v>
      </c>
      <c r="B81" t="s">
        <v>36</v>
      </c>
      <c r="C81" t="s">
        <v>2513</v>
      </c>
      <c r="D81" t="s">
        <v>2514</v>
      </c>
    </row>
    <row r="82" spans="8:8">
      <c r="A82">
        <v>81.0</v>
      </c>
      <c r="B82" t="s">
        <v>36</v>
      </c>
      <c r="C82" t="s">
        <v>2515</v>
      </c>
      <c r="D82" t="s">
        <v>2516</v>
      </c>
    </row>
    <row r="83" spans="8:8">
      <c r="A83">
        <v>82.0</v>
      </c>
      <c r="B83" t="s">
        <v>36</v>
      </c>
      <c r="C83" t="s">
        <v>2507</v>
      </c>
      <c r="D83" t="s">
        <v>2517</v>
      </c>
    </row>
    <row r="84" spans="8:8">
      <c r="A84">
        <v>83.0</v>
      </c>
      <c r="B84" t="s">
        <v>36</v>
      </c>
      <c r="C84" t="s">
        <v>2518</v>
      </c>
      <c r="D84" t="s">
        <v>2519</v>
      </c>
    </row>
    <row r="85" spans="8:8">
      <c r="A85">
        <v>84.0</v>
      </c>
      <c r="B85" t="s">
        <v>39</v>
      </c>
      <c r="C85" t="s">
        <v>2125</v>
      </c>
      <c r="D85" t="s">
        <v>2520</v>
      </c>
    </row>
    <row r="86" spans="8:8">
      <c r="A86">
        <v>85.0</v>
      </c>
      <c r="B86" t="s">
        <v>39</v>
      </c>
      <c r="C86" t="s">
        <v>2136</v>
      </c>
      <c r="D86" t="s">
        <v>2521</v>
      </c>
    </row>
    <row r="87" spans="8:8">
      <c r="A87">
        <v>86.0</v>
      </c>
      <c r="B87" t="s">
        <v>39</v>
      </c>
      <c r="C87" t="s">
        <v>2522</v>
      </c>
      <c r="D87" t="s">
        <v>2523</v>
      </c>
    </row>
    <row r="88" spans="8:8">
      <c r="A88">
        <v>87.0</v>
      </c>
      <c r="B88" t="s">
        <v>39</v>
      </c>
      <c r="C88" t="s">
        <v>2524</v>
      </c>
      <c r="D88" t="s">
        <v>2525</v>
      </c>
    </row>
    <row r="89" spans="8:8">
      <c r="A89">
        <v>88.0</v>
      </c>
      <c r="B89" t="s">
        <v>39</v>
      </c>
      <c r="C89" t="s">
        <v>2526</v>
      </c>
      <c r="D89" t="s">
        <v>2527</v>
      </c>
    </row>
    <row r="90" spans="8:8">
      <c r="A90">
        <v>89.0</v>
      </c>
      <c r="B90" t="s">
        <v>39</v>
      </c>
      <c r="C90" t="s">
        <v>2528</v>
      </c>
      <c r="D90" t="s">
        <v>2529</v>
      </c>
    </row>
    <row r="91" spans="8:8">
      <c r="A91">
        <v>90.0</v>
      </c>
      <c r="B91" t="s">
        <v>39</v>
      </c>
      <c r="C91" t="s">
        <v>2530</v>
      </c>
      <c r="D91" t="s">
        <v>2531</v>
      </c>
    </row>
    <row r="92" spans="8:8">
      <c r="A92">
        <v>91.0</v>
      </c>
      <c r="B92" t="s">
        <v>39</v>
      </c>
      <c r="C92" t="s">
        <v>2532</v>
      </c>
      <c r="D92" t="s">
        <v>2533</v>
      </c>
    </row>
    <row r="93" spans="8:8">
      <c r="A93">
        <v>92.0</v>
      </c>
      <c r="B93" t="s">
        <v>39</v>
      </c>
      <c r="C93" t="s">
        <v>2534</v>
      </c>
      <c r="D93" t="s">
        <v>2535</v>
      </c>
    </row>
    <row r="94" spans="8:8">
      <c r="A94">
        <v>93.0</v>
      </c>
      <c r="B94" t="s">
        <v>39</v>
      </c>
      <c r="C94" t="s">
        <v>2536</v>
      </c>
      <c r="D94" t="s">
        <v>2537</v>
      </c>
    </row>
    <row r="95" spans="8:8">
      <c r="A95">
        <v>94.0</v>
      </c>
      <c r="B95" t="s">
        <v>39</v>
      </c>
      <c r="C95" t="s">
        <v>2538</v>
      </c>
      <c r="D95" t="s">
        <v>2539</v>
      </c>
    </row>
    <row r="96" spans="8:8">
      <c r="A96">
        <v>95.0</v>
      </c>
      <c r="B96" t="s">
        <v>39</v>
      </c>
      <c r="C96" t="s">
        <v>2540</v>
      </c>
      <c r="D96" t="s">
        <v>2541</v>
      </c>
    </row>
    <row r="97" spans="8:8">
      <c r="A97">
        <v>96.0</v>
      </c>
      <c r="B97" t="s">
        <v>39</v>
      </c>
      <c r="C97" t="s">
        <v>2542</v>
      </c>
      <c r="D97" t="s">
        <v>2543</v>
      </c>
    </row>
    <row r="98" spans="8:8">
      <c r="A98">
        <v>97.0</v>
      </c>
      <c r="B98" t="s">
        <v>39</v>
      </c>
      <c r="C98" t="s">
        <v>2544</v>
      </c>
      <c r="D98" t="s">
        <v>2545</v>
      </c>
    </row>
    <row r="99" spans="8:8">
      <c r="A99">
        <v>98.0</v>
      </c>
      <c r="B99" t="s">
        <v>39</v>
      </c>
      <c r="C99" t="s">
        <v>2546</v>
      </c>
      <c r="D99" t="s">
        <v>2547</v>
      </c>
    </row>
    <row r="100" spans="8:8">
      <c r="A100">
        <v>99.0</v>
      </c>
      <c r="B100" t="s">
        <v>39</v>
      </c>
      <c r="C100" t="s">
        <v>2548</v>
      </c>
      <c r="D100" t="s">
        <v>2549</v>
      </c>
    </row>
    <row r="101" spans="8:8">
      <c r="A101">
        <v>100.0</v>
      </c>
      <c r="B101" t="s">
        <v>39</v>
      </c>
      <c r="C101" t="s">
        <v>2550</v>
      </c>
      <c r="D101" t="s">
        <v>2551</v>
      </c>
    </row>
    <row r="102" spans="8:8">
      <c r="A102">
        <v>101.0</v>
      </c>
      <c r="B102" t="s">
        <v>39</v>
      </c>
      <c r="C102" t="s">
        <v>2552</v>
      </c>
      <c r="D102" t="s">
        <v>2553</v>
      </c>
    </row>
    <row r="103" spans="8:8">
      <c r="A103">
        <v>102.0</v>
      </c>
      <c r="B103" t="s">
        <v>39</v>
      </c>
      <c r="C103" t="s">
        <v>2554</v>
      </c>
      <c r="D103" t="s">
        <v>2555</v>
      </c>
    </row>
    <row r="104" spans="8:8">
      <c r="A104">
        <v>103.0</v>
      </c>
      <c r="B104" t="s">
        <v>39</v>
      </c>
      <c r="C104" t="s">
        <v>2556</v>
      </c>
      <c r="D104" t="s">
        <v>2557</v>
      </c>
    </row>
    <row r="105" spans="8:8">
      <c r="A105">
        <v>104.0</v>
      </c>
      <c r="B105" t="s">
        <v>39</v>
      </c>
      <c r="C105" t="s">
        <v>2558</v>
      </c>
      <c r="D105" t="s">
        <v>2559</v>
      </c>
    </row>
    <row r="106" spans="8:8">
      <c r="A106">
        <v>105.0</v>
      </c>
      <c r="B106" t="s">
        <v>39</v>
      </c>
      <c r="C106" t="s">
        <v>2560</v>
      </c>
      <c r="D106" t="s">
        <v>2561</v>
      </c>
    </row>
    <row r="107" spans="8:8">
      <c r="A107">
        <v>106.0</v>
      </c>
      <c r="B107" t="s">
        <v>39</v>
      </c>
      <c r="C107" t="s">
        <v>2524</v>
      </c>
      <c r="D107" t="s">
        <v>2562</v>
      </c>
    </row>
    <row r="108" spans="8:8">
      <c r="A108">
        <v>107.0</v>
      </c>
      <c r="B108" t="s">
        <v>39</v>
      </c>
      <c r="C108" t="s">
        <v>2563</v>
      </c>
      <c r="D108" t="s">
        <v>2564</v>
      </c>
    </row>
    <row r="109" spans="8:8">
      <c r="A109">
        <v>108.0</v>
      </c>
      <c r="B109" t="s">
        <v>39</v>
      </c>
      <c r="C109" t="s">
        <v>2565</v>
      </c>
      <c r="D109" t="s">
        <v>2566</v>
      </c>
    </row>
    <row r="110" spans="8:8">
      <c r="A110">
        <v>109.0</v>
      </c>
      <c r="B110" t="s">
        <v>39</v>
      </c>
      <c r="C110" t="s">
        <v>2567</v>
      </c>
      <c r="D110" t="s">
        <v>2568</v>
      </c>
    </row>
    <row r="111" spans="8:8">
      <c r="A111">
        <v>110.0</v>
      </c>
      <c r="B111" t="s">
        <v>39</v>
      </c>
      <c r="C111" t="s">
        <v>2569</v>
      </c>
      <c r="D111" t="s">
        <v>2570</v>
      </c>
    </row>
    <row r="112" spans="8:8">
      <c r="A112">
        <v>111.0</v>
      </c>
      <c r="B112" t="s">
        <v>39</v>
      </c>
      <c r="C112" t="s">
        <v>2571</v>
      </c>
      <c r="D112" t="s">
        <v>2572</v>
      </c>
    </row>
    <row r="113" spans="8:8">
      <c r="A113">
        <v>112.0</v>
      </c>
      <c r="B113" t="s">
        <v>39</v>
      </c>
      <c r="C113" t="s">
        <v>2573</v>
      </c>
      <c r="D113" t="s">
        <v>2574</v>
      </c>
    </row>
    <row r="114" spans="8:8">
      <c r="A114">
        <v>113.0</v>
      </c>
      <c r="B114" t="s">
        <v>39</v>
      </c>
      <c r="C114" t="s">
        <v>2575</v>
      </c>
      <c r="D114" t="s">
        <v>2576</v>
      </c>
    </row>
    <row r="115" spans="8:8">
      <c r="A115">
        <v>114.0</v>
      </c>
      <c r="B115" t="s">
        <v>39</v>
      </c>
      <c r="C115" t="s">
        <v>2577</v>
      </c>
      <c r="D115" t="s">
        <v>2578</v>
      </c>
    </row>
    <row r="116" spans="8:8">
      <c r="A116">
        <v>115.0</v>
      </c>
      <c r="B116" t="s">
        <v>39</v>
      </c>
      <c r="C116" t="s">
        <v>2579</v>
      </c>
      <c r="D116" t="s">
        <v>2580</v>
      </c>
    </row>
    <row r="117" spans="8:8">
      <c r="A117">
        <v>116.0</v>
      </c>
      <c r="B117" t="s">
        <v>39</v>
      </c>
      <c r="C117" t="s">
        <v>2581</v>
      </c>
      <c r="D117" t="s">
        <v>2582</v>
      </c>
    </row>
    <row r="118" spans="8:8">
      <c r="A118">
        <v>117.0</v>
      </c>
      <c r="B118" t="s">
        <v>39</v>
      </c>
      <c r="C118" t="s">
        <v>2583</v>
      </c>
      <c r="D118" t="s">
        <v>2584</v>
      </c>
    </row>
    <row r="119" spans="8:8">
      <c r="A119">
        <v>118.0</v>
      </c>
      <c r="B119" t="s">
        <v>39</v>
      </c>
      <c r="C119" t="s">
        <v>2585</v>
      </c>
      <c r="D119" t="s">
        <v>2586</v>
      </c>
    </row>
    <row r="120" spans="8:8">
      <c r="A120">
        <v>119.0</v>
      </c>
      <c r="B120" t="s">
        <v>39</v>
      </c>
      <c r="C120" t="s">
        <v>2587</v>
      </c>
      <c r="D120" t="s">
        <v>2588</v>
      </c>
    </row>
    <row r="121" spans="8:8">
      <c r="A121">
        <v>120.0</v>
      </c>
      <c r="B121" t="s">
        <v>39</v>
      </c>
      <c r="C121" t="s">
        <v>2589</v>
      </c>
      <c r="D121" t="s">
        <v>2590</v>
      </c>
    </row>
    <row r="122" spans="8:8">
      <c r="A122">
        <v>121.0</v>
      </c>
      <c r="B122" t="s">
        <v>39</v>
      </c>
      <c r="C122" t="s">
        <v>2591</v>
      </c>
      <c r="D122" t="s">
        <v>2592</v>
      </c>
    </row>
    <row r="123" spans="8:8">
      <c r="A123">
        <v>122.0</v>
      </c>
      <c r="B123" t="s">
        <v>39</v>
      </c>
      <c r="C123" t="s">
        <v>2593</v>
      </c>
      <c r="D123" t="s">
        <v>2594</v>
      </c>
    </row>
    <row r="124" spans="8:8">
      <c r="A124">
        <v>123.0</v>
      </c>
      <c r="B124" t="s">
        <v>39</v>
      </c>
      <c r="C124" t="s">
        <v>2595</v>
      </c>
      <c r="D124" t="s">
        <v>2596</v>
      </c>
    </row>
    <row r="125" spans="8:8">
      <c r="A125">
        <v>124.0</v>
      </c>
      <c r="B125" t="s">
        <v>39</v>
      </c>
      <c r="C125" t="s">
        <v>2597</v>
      </c>
      <c r="D125" t="s">
        <v>2598</v>
      </c>
    </row>
    <row r="126" spans="8:8">
      <c r="A126">
        <v>125.0</v>
      </c>
      <c r="B126" t="s">
        <v>42</v>
      </c>
      <c r="C126" t="s">
        <v>2599</v>
      </c>
      <c r="D126" t="s">
        <v>2600</v>
      </c>
    </row>
    <row r="127" spans="8:8">
      <c r="A127">
        <v>126.0</v>
      </c>
      <c r="B127" t="s">
        <v>42</v>
      </c>
      <c r="C127" t="s">
        <v>2601</v>
      </c>
      <c r="D127" t="s">
        <v>2602</v>
      </c>
    </row>
    <row r="128" spans="8:8">
      <c r="A128">
        <v>127.0</v>
      </c>
      <c r="B128" t="s">
        <v>42</v>
      </c>
      <c r="C128" t="s">
        <v>2603</v>
      </c>
      <c r="D128" t="s">
        <v>2604</v>
      </c>
    </row>
    <row r="129" spans="8:8">
      <c r="A129">
        <v>128.0</v>
      </c>
      <c r="B129" t="s">
        <v>42</v>
      </c>
      <c r="C129" t="s">
        <v>2605</v>
      </c>
      <c r="D129" t="s">
        <v>2606</v>
      </c>
    </row>
    <row r="130" spans="8:8">
      <c r="A130">
        <v>129.0</v>
      </c>
      <c r="B130" t="s">
        <v>42</v>
      </c>
      <c r="C130" t="s">
        <v>2607</v>
      </c>
      <c r="D130" t="s">
        <v>2608</v>
      </c>
    </row>
    <row r="131" spans="8:8">
      <c r="A131">
        <v>130.0</v>
      </c>
      <c r="B131" t="s">
        <v>42</v>
      </c>
      <c r="C131" t="s">
        <v>2609</v>
      </c>
      <c r="D131" t="s">
        <v>2610</v>
      </c>
    </row>
    <row r="132" spans="8:8">
      <c r="A132">
        <v>131.0</v>
      </c>
      <c r="B132" t="s">
        <v>42</v>
      </c>
      <c r="C132" t="s">
        <v>2611</v>
      </c>
      <c r="D132" t="s">
        <v>2612</v>
      </c>
    </row>
    <row r="133" spans="8:8">
      <c r="A133">
        <v>132.0</v>
      </c>
      <c r="B133" t="s">
        <v>42</v>
      </c>
      <c r="C133" t="s">
        <v>1512</v>
      </c>
      <c r="D133" t="s">
        <v>2613</v>
      </c>
    </row>
    <row r="134" spans="8:8">
      <c r="A134">
        <v>133.0</v>
      </c>
      <c r="B134" t="s">
        <v>42</v>
      </c>
      <c r="C134" t="s">
        <v>2614</v>
      </c>
      <c r="D134" t="s">
        <v>2615</v>
      </c>
    </row>
    <row r="135" spans="8:8">
      <c r="A135">
        <v>134.0</v>
      </c>
      <c r="B135" t="s">
        <v>42</v>
      </c>
      <c r="C135" t="s">
        <v>2616</v>
      </c>
      <c r="D135" t="s">
        <v>2617</v>
      </c>
    </row>
    <row r="136" spans="8:8">
      <c r="A136">
        <v>135.0</v>
      </c>
      <c r="B136" t="s">
        <v>42</v>
      </c>
      <c r="C136" t="s">
        <v>2618</v>
      </c>
      <c r="D136" t="s">
        <v>2619</v>
      </c>
    </row>
    <row r="137" spans="8:8">
      <c r="A137">
        <v>136.0</v>
      </c>
      <c r="B137" t="s">
        <v>42</v>
      </c>
      <c r="C137" t="s">
        <v>2620</v>
      </c>
      <c r="D137" t="s">
        <v>2621</v>
      </c>
    </row>
    <row r="138" spans="8:8">
      <c r="A138">
        <v>137.0</v>
      </c>
      <c r="B138" t="s">
        <v>42</v>
      </c>
      <c r="C138" t="s">
        <v>2622</v>
      </c>
      <c r="D138" t="s">
        <v>2623</v>
      </c>
    </row>
    <row r="139" spans="8:8">
      <c r="A139">
        <v>138.0</v>
      </c>
      <c r="B139" t="s">
        <v>42</v>
      </c>
      <c r="C139" t="s">
        <v>2624</v>
      </c>
      <c r="D139" t="s">
        <v>2625</v>
      </c>
    </row>
    <row r="140" spans="8:8">
      <c r="A140">
        <v>139.0</v>
      </c>
      <c r="B140" t="s">
        <v>42</v>
      </c>
      <c r="C140" t="s">
        <v>201</v>
      </c>
      <c r="D140" t="s">
        <v>2626</v>
      </c>
    </row>
    <row r="141" spans="8:8">
      <c r="A141">
        <v>140.0</v>
      </c>
      <c r="B141" t="s">
        <v>42</v>
      </c>
      <c r="C141" t="s">
        <v>2627</v>
      </c>
      <c r="D141" t="s">
        <v>2628</v>
      </c>
    </row>
    <row r="142" spans="8:8">
      <c r="A142">
        <v>141.0</v>
      </c>
      <c r="B142" t="s">
        <v>42</v>
      </c>
      <c r="C142" t="s">
        <v>2629</v>
      </c>
      <c r="D142" t="s">
        <v>2630</v>
      </c>
    </row>
    <row r="143" spans="8:8">
      <c r="A143">
        <v>142.0</v>
      </c>
      <c r="B143" t="s">
        <v>42</v>
      </c>
      <c r="C143" t="s">
        <v>2631</v>
      </c>
      <c r="D143" t="s">
        <v>2632</v>
      </c>
    </row>
    <row r="144" spans="8:8">
      <c r="A144">
        <v>143.0</v>
      </c>
      <c r="B144" t="s">
        <v>42</v>
      </c>
      <c r="C144" t="s">
        <v>760</v>
      </c>
      <c r="D144" t="s">
        <v>2633</v>
      </c>
    </row>
    <row r="145" spans="8:8">
      <c r="A145">
        <v>144.0</v>
      </c>
      <c r="B145" t="s">
        <v>42</v>
      </c>
      <c r="C145" t="s">
        <v>2634</v>
      </c>
      <c r="D145" t="s">
        <v>2635</v>
      </c>
    </row>
    <row r="146" spans="8:8">
      <c r="A146">
        <v>145.0</v>
      </c>
      <c r="B146" t="s">
        <v>42</v>
      </c>
      <c r="C146" t="s">
        <v>2636</v>
      </c>
      <c r="D146" t="s">
        <v>2637</v>
      </c>
    </row>
    <row r="147" spans="8:8">
      <c r="A147">
        <v>146.0</v>
      </c>
      <c r="B147" t="s">
        <v>42</v>
      </c>
      <c r="C147" t="s">
        <v>1621</v>
      </c>
      <c r="D147" t="s">
        <v>2638</v>
      </c>
    </row>
    <row r="148" spans="8:8">
      <c r="A148">
        <v>147.0</v>
      </c>
      <c r="B148" t="s">
        <v>42</v>
      </c>
      <c r="C148" t="s">
        <v>2639</v>
      </c>
      <c r="D148" t="s">
        <v>2640</v>
      </c>
    </row>
    <row r="149" spans="8:8">
      <c r="A149">
        <v>148.0</v>
      </c>
      <c r="B149" t="s">
        <v>42</v>
      </c>
      <c r="C149" t="s">
        <v>2641</v>
      </c>
      <c r="D149" t="s">
        <v>2642</v>
      </c>
    </row>
    <row r="150" spans="8:8">
      <c r="A150">
        <v>149.0</v>
      </c>
      <c r="B150" t="s">
        <v>42</v>
      </c>
      <c r="C150" t="s">
        <v>2643</v>
      </c>
      <c r="D150" t="s">
        <v>2644</v>
      </c>
    </row>
    <row r="151" spans="8:8">
      <c r="A151">
        <v>150.0</v>
      </c>
      <c r="B151" t="s">
        <v>42</v>
      </c>
      <c r="C151" t="s">
        <v>1403</v>
      </c>
      <c r="D151" t="s">
        <v>2645</v>
      </c>
    </row>
    <row r="152" spans="8:8">
      <c r="A152">
        <v>151.0</v>
      </c>
      <c r="B152" t="s">
        <v>42</v>
      </c>
      <c r="C152" t="s">
        <v>2646</v>
      </c>
      <c r="D152" t="s">
        <v>2647</v>
      </c>
    </row>
    <row r="153" spans="8:8">
      <c r="A153">
        <v>152.0</v>
      </c>
      <c r="B153" t="s">
        <v>42</v>
      </c>
      <c r="C153" t="s">
        <v>157</v>
      </c>
      <c r="D153" t="s">
        <v>2648</v>
      </c>
    </row>
    <row r="154" spans="8:8">
      <c r="A154">
        <v>153.0</v>
      </c>
      <c r="B154" t="s">
        <v>42</v>
      </c>
      <c r="C154" t="s">
        <v>2649</v>
      </c>
      <c r="D154" t="s">
        <v>2650</v>
      </c>
    </row>
    <row r="155" spans="8:8">
      <c r="A155">
        <v>154.0</v>
      </c>
      <c r="B155" t="s">
        <v>42</v>
      </c>
      <c r="C155" t="s">
        <v>2651</v>
      </c>
      <c r="D155" t="s">
        <v>2652</v>
      </c>
    </row>
    <row r="156" spans="8:8">
      <c r="A156">
        <v>155.0</v>
      </c>
      <c r="B156" t="s">
        <v>42</v>
      </c>
      <c r="C156" t="s">
        <v>2653</v>
      </c>
      <c r="D156" t="s">
        <v>2654</v>
      </c>
    </row>
    <row r="157" spans="8:8">
      <c r="A157">
        <v>156.0</v>
      </c>
      <c r="B157" t="s">
        <v>42</v>
      </c>
      <c r="C157" t="s">
        <v>2655</v>
      </c>
      <c r="D157" t="s">
        <v>2656</v>
      </c>
    </row>
    <row r="158" spans="8:8">
      <c r="A158">
        <v>157.0</v>
      </c>
      <c r="B158" t="s">
        <v>42</v>
      </c>
      <c r="C158" t="s">
        <v>2657</v>
      </c>
      <c r="E158" t="s">
        <v>50</v>
      </c>
    </row>
    <row r="159" spans="8:8">
      <c r="A159">
        <v>158.0</v>
      </c>
      <c r="B159" t="s">
        <v>39</v>
      </c>
      <c r="C159" t="s">
        <v>2658</v>
      </c>
      <c r="E159" t="s">
        <v>50</v>
      </c>
    </row>
    <row r="160" spans="8:8">
      <c r="A160">
        <v>159.0</v>
      </c>
      <c r="B160" t="s">
        <v>30</v>
      </c>
      <c r="C160" t="s">
        <v>2659</v>
      </c>
      <c r="E160" t="s">
        <v>50</v>
      </c>
    </row>
    <row r="161" spans="8:8">
      <c r="A161">
        <v>160.0</v>
      </c>
      <c r="B161" t="s">
        <v>30</v>
      </c>
      <c r="C161" t="s">
        <v>2660</v>
      </c>
      <c r="E161" t="s">
        <v>50</v>
      </c>
    </row>
    <row r="162" spans="8:8">
      <c r="A162">
        <v>161.0</v>
      </c>
      <c r="B162" t="s">
        <v>39</v>
      </c>
      <c r="C162" t="s">
        <v>2661</v>
      </c>
      <c r="E162" t="s">
        <v>50</v>
      </c>
    </row>
    <row r="163" spans="8:8">
      <c r="A163">
        <v>162.0</v>
      </c>
      <c r="B163" t="s">
        <v>39</v>
      </c>
      <c r="C163" t="s">
        <v>2662</v>
      </c>
      <c r="E163" t="s">
        <v>50</v>
      </c>
    </row>
    <row r="164" spans="8:8">
      <c r="A164">
        <v>163.0</v>
      </c>
      <c r="B164" t="s">
        <v>39</v>
      </c>
      <c r="C164" t="s">
        <v>2663</v>
      </c>
      <c r="E164" t="s">
        <v>50</v>
      </c>
    </row>
    <row r="165" spans="8:8">
      <c r="A165">
        <v>164.0</v>
      </c>
      <c r="B165" t="s">
        <v>42</v>
      </c>
      <c r="C165" t="s">
        <v>2664</v>
      </c>
      <c r="E165" t="s">
        <v>50</v>
      </c>
    </row>
    <row r="166" spans="8:8">
      <c r="A166">
        <v>165.0</v>
      </c>
      <c r="B166" t="s">
        <v>42</v>
      </c>
      <c r="C166" t="s">
        <v>2665</v>
      </c>
      <c r="E166" t="s">
        <v>50</v>
      </c>
    </row>
    <row r="167" spans="8:8">
      <c r="A167">
        <v>166.0</v>
      </c>
      <c r="B167" t="s">
        <v>39</v>
      </c>
      <c r="C167" t="s">
        <v>2662</v>
      </c>
      <c r="E167" t="s">
        <v>50</v>
      </c>
    </row>
    <row r="168" spans="8:8" ht="13.5" customFormat="1">
      <c r="A168">
        <v>167.0</v>
      </c>
      <c r="B168" t="s">
        <v>33</v>
      </c>
      <c r="C168" t="s">
        <v>2666</v>
      </c>
      <c r="D168" t="s">
        <v>2667</v>
      </c>
    </row>
    <row r="169" spans="8:8" ht="13.5" customFormat="1">
      <c r="A169">
        <v>168.0</v>
      </c>
      <c r="B169" t="s">
        <v>33</v>
      </c>
      <c r="C169" t="s">
        <v>2668</v>
      </c>
      <c r="D169" t="s">
        <v>2669</v>
      </c>
    </row>
    <row r="170" spans="8:8" ht="13.5" customFormat="1">
      <c r="A170">
        <v>169.0</v>
      </c>
      <c r="B170" t="s">
        <v>30</v>
      </c>
      <c r="C170" t="s">
        <v>2670</v>
      </c>
      <c r="D170" t="s">
        <v>2671</v>
      </c>
    </row>
    <row r="171" spans="8:8" ht="13.5" customFormat="1">
      <c r="A171">
        <v>170.0</v>
      </c>
      <c r="B171" t="s">
        <v>39</v>
      </c>
      <c r="C171" t="s">
        <v>2672</v>
      </c>
      <c r="D171" t="s">
        <v>2673</v>
      </c>
    </row>
    <row r="172" spans="8:8" ht="13.5" customFormat="1">
      <c r="A172">
        <v>171.0</v>
      </c>
      <c r="B172" t="s">
        <v>39</v>
      </c>
      <c r="C172" t="s">
        <v>2674</v>
      </c>
      <c r="D172" s="1" t="s">
        <v>2675</v>
      </c>
    </row>
    <row r="173" spans="8:8" ht="13.5" customFormat="1">
      <c r="A173">
        <v>172.0</v>
      </c>
      <c r="B173" t="s">
        <v>39</v>
      </c>
      <c r="C173" t="s">
        <v>2676</v>
      </c>
      <c r="D173" t="s">
        <v>2677</v>
      </c>
    </row>
    <row r="174" spans="8:8" ht="13.5" customFormat="1">
      <c r="A174">
        <v>173.0</v>
      </c>
      <c r="B174" t="s">
        <v>39</v>
      </c>
      <c r="C174" t="s">
        <v>2678</v>
      </c>
      <c r="D174" s="1" t="s">
        <v>2679</v>
      </c>
    </row>
    <row r="175" spans="8:8" ht="13.5" customFormat="1">
      <c r="A175">
        <v>174.0</v>
      </c>
      <c r="B175" t="s">
        <v>39</v>
      </c>
      <c r="C175" t="s">
        <v>2680</v>
      </c>
      <c r="D175" t="s">
        <v>2681</v>
      </c>
    </row>
    <row r="176" spans="8:8">
      <c r="A176">
        <v>175.0</v>
      </c>
      <c r="B176" t="s">
        <v>39</v>
      </c>
      <c r="C176" t="s">
        <v>2682</v>
      </c>
      <c r="D176" t="s">
        <v>250</v>
      </c>
    </row>
    <row r="177" spans="8:8">
      <c r="A177">
        <v>176.0</v>
      </c>
      <c r="B177" t="s">
        <v>39</v>
      </c>
      <c r="C177" t="s">
        <v>251</v>
      </c>
      <c r="D177" t="s">
        <v>252</v>
      </c>
    </row>
    <row r="178" spans="8:8">
      <c r="A178">
        <v>177.0</v>
      </c>
      <c r="B178" t="s">
        <v>39</v>
      </c>
      <c r="C178" t="s">
        <v>253</v>
      </c>
      <c r="D178" t="s">
        <v>254</v>
      </c>
    </row>
    <row r="179" spans="8:8">
      <c r="A179">
        <v>178.0</v>
      </c>
      <c r="B179" t="s">
        <v>30</v>
      </c>
      <c r="C179" t="s">
        <v>2683</v>
      </c>
      <c r="D179" t="s">
        <v>2684</v>
      </c>
    </row>
    <row r="180" spans="8:8">
      <c r="A180">
        <v>179.0</v>
      </c>
      <c r="B180" t="s">
        <v>39</v>
      </c>
      <c r="C180" t="s">
        <v>2685</v>
      </c>
      <c r="E180" t="s">
        <v>54</v>
      </c>
    </row>
    <row r="181" spans="8:8">
      <c r="A181">
        <v>180.0</v>
      </c>
      <c r="B181" t="s">
        <v>33</v>
      </c>
      <c r="C181" t="s">
        <v>2686</v>
      </c>
      <c r="E181" t="s">
        <v>54</v>
      </c>
    </row>
    <row r="182" spans="8:8">
      <c r="A182">
        <v>181.0</v>
      </c>
      <c r="B182" t="s">
        <v>33</v>
      </c>
      <c r="C182" t="s">
        <v>2687</v>
      </c>
      <c r="E182" t="s">
        <v>54</v>
      </c>
    </row>
    <row r="183" spans="8:8">
      <c r="A183">
        <v>182.0</v>
      </c>
      <c r="B183" t="s">
        <v>30</v>
      </c>
      <c r="C183" t="s">
        <v>135</v>
      </c>
      <c r="E183" t="s">
        <v>54</v>
      </c>
    </row>
    <row r="184" spans="8:8">
      <c r="A184">
        <v>183.0</v>
      </c>
      <c r="B184" t="s">
        <v>39</v>
      </c>
      <c r="C184" t="s">
        <v>2688</v>
      </c>
      <c r="E184" t="s">
        <v>54</v>
      </c>
    </row>
    <row r="185" spans="8:8">
      <c r="A185">
        <v>184.0</v>
      </c>
      <c r="B185" t="s">
        <v>30</v>
      </c>
      <c r="C185" t="s">
        <v>2689</v>
      </c>
      <c r="E185" t="s">
        <v>54</v>
      </c>
    </row>
    <row r="186" spans="8:8">
      <c r="A186">
        <v>185.0</v>
      </c>
      <c r="B186" t="s">
        <v>42</v>
      </c>
      <c r="C186" t="s">
        <v>2690</v>
      </c>
      <c r="E186" t="s">
        <v>54</v>
      </c>
    </row>
    <row r="187" spans="8:8">
      <c r="A187">
        <v>186.0</v>
      </c>
      <c r="B187" t="s">
        <v>39</v>
      </c>
      <c r="C187" t="s">
        <v>2691</v>
      </c>
      <c r="E187" t="s">
        <v>54</v>
      </c>
    </row>
    <row r="188" spans="8:8">
      <c r="A188">
        <v>187.0</v>
      </c>
      <c r="B188" t="s">
        <v>30</v>
      </c>
      <c r="C188" t="s">
        <v>2692</v>
      </c>
      <c r="E188" t="s">
        <v>54</v>
      </c>
    </row>
    <row r="189" spans="8:8">
      <c r="A189">
        <v>188.0</v>
      </c>
      <c r="B189" t="s">
        <v>30</v>
      </c>
      <c r="C189" t="s">
        <v>2693</v>
      </c>
      <c r="E189" t="s">
        <v>54</v>
      </c>
    </row>
    <row r="190" spans="8:8">
      <c r="A190">
        <v>189.0</v>
      </c>
      <c r="B190" t="s">
        <v>39</v>
      </c>
      <c r="C190" t="s">
        <v>2694</v>
      </c>
      <c r="E190" t="s">
        <v>54</v>
      </c>
    </row>
    <row r="191" spans="8:8">
      <c r="A191">
        <v>190.0</v>
      </c>
      <c r="B191" t="s">
        <v>42</v>
      </c>
      <c r="C191" t="s">
        <v>2695</v>
      </c>
      <c r="E191" t="s">
        <v>54</v>
      </c>
    </row>
    <row r="192" spans="8:8">
      <c r="A192">
        <v>191.0</v>
      </c>
      <c r="B192" t="s">
        <v>33</v>
      </c>
      <c r="C192" t="s">
        <v>2696</v>
      </c>
      <c r="E192" t="s">
        <v>54</v>
      </c>
    </row>
    <row r="193" spans="8:8">
      <c r="A193">
        <v>192.0</v>
      </c>
      <c r="B193" t="s">
        <v>42</v>
      </c>
      <c r="C193" t="s">
        <v>30</v>
      </c>
      <c r="E193" t="s">
        <v>54</v>
      </c>
    </row>
    <row r="194" spans="8:8">
      <c r="A194">
        <v>193.0</v>
      </c>
      <c r="B194" t="s">
        <v>42</v>
      </c>
      <c r="C194" t="s">
        <v>2697</v>
      </c>
      <c r="E194" t="s">
        <v>54</v>
      </c>
    </row>
    <row r="195" spans="8:8">
      <c r="A195">
        <v>194.0</v>
      </c>
      <c r="B195" t="s">
        <v>39</v>
      </c>
      <c r="C195" t="s">
        <v>2698</v>
      </c>
      <c r="E195" t="s">
        <v>54</v>
      </c>
    </row>
    <row r="196" spans="8:8">
      <c r="A196">
        <v>195.0</v>
      </c>
      <c r="B196" t="s">
        <v>39</v>
      </c>
      <c r="C196" t="s">
        <v>2699</v>
      </c>
      <c r="E196" t="s">
        <v>54</v>
      </c>
    </row>
    <row r="197" spans="8:8">
      <c r="A197">
        <v>196.0</v>
      </c>
      <c r="B197" t="s">
        <v>42</v>
      </c>
      <c r="C197" t="s">
        <v>2700</v>
      </c>
      <c r="E197" t="s">
        <v>54</v>
      </c>
    </row>
    <row r="198" spans="8:8">
      <c r="A198">
        <v>197.0</v>
      </c>
      <c r="B198" t="s">
        <v>42</v>
      </c>
      <c r="C198" t="s">
        <v>2701</v>
      </c>
      <c r="E198" t="s">
        <v>54</v>
      </c>
    </row>
    <row r="199" spans="8:8">
      <c r="A199">
        <v>198.0</v>
      </c>
      <c r="B199" t="s">
        <v>39</v>
      </c>
      <c r="C199" t="s">
        <v>2702</v>
      </c>
      <c r="E199" t="s">
        <v>54</v>
      </c>
    </row>
    <row r="200" spans="8:8">
      <c r="A200">
        <v>199.0</v>
      </c>
      <c r="B200" t="s">
        <v>36</v>
      </c>
      <c r="C200" t="s">
        <v>2703</v>
      </c>
      <c r="E200" t="s">
        <v>54</v>
      </c>
    </row>
    <row r="201" spans="8:8">
      <c r="A201">
        <v>200.0</v>
      </c>
      <c r="B201" t="s">
        <v>39</v>
      </c>
      <c r="C201" t="s">
        <v>2704</v>
      </c>
      <c r="E201" t="s">
        <v>54</v>
      </c>
    </row>
    <row r="202" spans="8:8">
      <c r="A202">
        <v>201.0</v>
      </c>
      <c r="B202" t="s">
        <v>42</v>
      </c>
      <c r="C202" t="s">
        <v>2705</v>
      </c>
      <c r="E202" t="s">
        <v>54</v>
      </c>
    </row>
    <row r="203" spans="8:8">
      <c r="A203">
        <v>202.0</v>
      </c>
      <c r="B203" t="s">
        <v>42</v>
      </c>
      <c r="C203" t="s">
        <v>2706</v>
      </c>
      <c r="E203" t="s">
        <v>54</v>
      </c>
    </row>
    <row r="204" spans="8:8">
      <c r="A204">
        <v>203.0</v>
      </c>
      <c r="B204" t="s">
        <v>42</v>
      </c>
      <c r="C204" t="s">
        <v>2707</v>
      </c>
      <c r="E204" t="s">
        <v>54</v>
      </c>
    </row>
    <row r="205" spans="8:8">
      <c r="A205">
        <v>204.0</v>
      </c>
      <c r="B205" t="s">
        <v>39</v>
      </c>
      <c r="C205" t="s">
        <v>2708</v>
      </c>
      <c r="E205" t="s">
        <v>54</v>
      </c>
    </row>
    <row r="206" spans="8:8">
      <c r="A206">
        <v>205.0</v>
      </c>
      <c r="B206" t="s">
        <v>39</v>
      </c>
      <c r="C206" t="s">
        <v>2709</v>
      </c>
      <c r="E206" t="s">
        <v>54</v>
      </c>
    </row>
    <row r="207" spans="8:8">
      <c r="A207">
        <v>206.0</v>
      </c>
      <c r="B207" t="s">
        <v>33</v>
      </c>
      <c r="C207" t="s">
        <v>2710</v>
      </c>
      <c r="E207" t="s">
        <v>54</v>
      </c>
    </row>
    <row r="208" spans="8:8">
      <c r="A208">
        <v>207.0</v>
      </c>
      <c r="B208" t="s">
        <v>42</v>
      </c>
      <c r="C208" t="s">
        <v>2711</v>
      </c>
      <c r="E208" t="s">
        <v>54</v>
      </c>
    </row>
    <row r="209" spans="8:8">
      <c r="A209">
        <v>208.0</v>
      </c>
      <c r="B209" t="s">
        <v>33</v>
      </c>
      <c r="C209" t="s">
        <v>2712</v>
      </c>
      <c r="E209" t="s">
        <v>54</v>
      </c>
    </row>
    <row r="210" spans="8:8">
      <c r="A210">
        <v>209.0</v>
      </c>
      <c r="B210" t="s">
        <v>39</v>
      </c>
      <c r="C210" t="s">
        <v>2713</v>
      </c>
      <c r="E210" t="s">
        <v>54</v>
      </c>
    </row>
    <row r="211" spans="8:8">
      <c r="A211">
        <v>210.0</v>
      </c>
      <c r="B211" t="s">
        <v>30</v>
      </c>
      <c r="C211" t="s">
        <v>2714</v>
      </c>
      <c r="E211" t="s">
        <v>54</v>
      </c>
    </row>
    <row r="212" spans="8:8">
      <c r="A212">
        <v>211.0</v>
      </c>
      <c r="B212" t="s">
        <v>39</v>
      </c>
      <c r="C212" t="s">
        <v>2715</v>
      </c>
      <c r="E212" t="s">
        <v>54</v>
      </c>
    </row>
    <row r="213" spans="8:8">
      <c r="A213">
        <v>212.0</v>
      </c>
      <c r="B213" t="s">
        <v>30</v>
      </c>
      <c r="C213" t="s">
        <v>2716</v>
      </c>
      <c r="E213" t="s">
        <v>54</v>
      </c>
    </row>
    <row r="214" spans="8:8">
      <c r="A214">
        <v>213.0</v>
      </c>
      <c r="B214" t="s">
        <v>39</v>
      </c>
      <c r="C214" t="s">
        <v>2717</v>
      </c>
      <c r="E214" t="s">
        <v>54</v>
      </c>
    </row>
    <row r="215" spans="8:8">
      <c r="A215">
        <v>214.0</v>
      </c>
      <c r="B215" t="s">
        <v>39</v>
      </c>
      <c r="C215" t="s">
        <v>2718</v>
      </c>
      <c r="E215" t="s">
        <v>54</v>
      </c>
    </row>
    <row r="216" spans="8:8">
      <c r="A216">
        <v>215.0</v>
      </c>
      <c r="B216" t="s">
        <v>39</v>
      </c>
      <c r="C216" t="s">
        <v>2719</v>
      </c>
      <c r="E216" t="s">
        <v>54</v>
      </c>
    </row>
    <row r="217" spans="8:8">
      <c r="A217">
        <v>216.0</v>
      </c>
      <c r="B217" t="s">
        <v>39</v>
      </c>
      <c r="C217" t="s">
        <v>2720</v>
      </c>
      <c r="E217" t="s">
        <v>54</v>
      </c>
    </row>
    <row r="218" spans="8:8">
      <c r="A218">
        <v>217.0</v>
      </c>
      <c r="B218" t="s">
        <v>42</v>
      </c>
      <c r="C218" t="s">
        <v>2721</v>
      </c>
      <c r="E218" t="s">
        <v>54</v>
      </c>
    </row>
    <row r="219" spans="8:8">
      <c r="A219">
        <v>218.0</v>
      </c>
      <c r="B219" t="s">
        <v>42</v>
      </c>
      <c r="C219" t="s">
        <v>2722</v>
      </c>
      <c r="E219" t="s">
        <v>54</v>
      </c>
    </row>
    <row r="220" spans="8:8">
      <c r="A220">
        <v>219.0</v>
      </c>
      <c r="B220" t="s">
        <v>39</v>
      </c>
      <c r="C220" t="s">
        <v>2723</v>
      </c>
      <c r="E220" t="s">
        <v>54</v>
      </c>
    </row>
    <row r="221" spans="8:8">
      <c r="A221">
        <v>220.0</v>
      </c>
      <c r="B221" t="s">
        <v>42</v>
      </c>
      <c r="C221" t="s">
        <v>2724</v>
      </c>
      <c r="E221" t="s">
        <v>54</v>
      </c>
    </row>
    <row r="222" spans="8:8">
      <c r="A222">
        <v>221.0</v>
      </c>
      <c r="B222" t="s">
        <v>42</v>
      </c>
      <c r="C222" t="s">
        <v>2725</v>
      </c>
      <c r="E222" t="s">
        <v>54</v>
      </c>
    </row>
    <row r="223" spans="8:8">
      <c r="A223">
        <v>222.0</v>
      </c>
      <c r="B223" t="s">
        <v>39</v>
      </c>
      <c r="C223" t="s">
        <v>2726</v>
      </c>
      <c r="E223" t="s">
        <v>54</v>
      </c>
    </row>
    <row r="224" spans="8:8">
      <c r="A224">
        <v>223.0</v>
      </c>
      <c r="B224" t="s">
        <v>42</v>
      </c>
      <c r="C224" t="s">
        <v>2727</v>
      </c>
      <c r="E224" t="s">
        <v>54</v>
      </c>
    </row>
    <row r="225" spans="8:8">
      <c r="A225">
        <v>224.0</v>
      </c>
      <c r="B225" t="s">
        <v>42</v>
      </c>
      <c r="C225" t="s">
        <v>2728</v>
      </c>
      <c r="E225" t="s">
        <v>54</v>
      </c>
    </row>
    <row r="226" spans="8:8">
      <c r="A226">
        <v>225.0</v>
      </c>
      <c r="B226" t="s">
        <v>33</v>
      </c>
      <c r="C226" t="s">
        <v>2729</v>
      </c>
      <c r="E226" t="s">
        <v>54</v>
      </c>
    </row>
    <row r="227" spans="8:8">
      <c r="A227">
        <v>226.0</v>
      </c>
      <c r="B227" t="s">
        <v>42</v>
      </c>
      <c r="C227" t="s">
        <v>2730</v>
      </c>
      <c r="E227" t="s">
        <v>54</v>
      </c>
    </row>
    <row r="228" spans="8:8">
      <c r="A228">
        <v>227.0</v>
      </c>
      <c r="B228" t="s">
        <v>42</v>
      </c>
      <c r="C228" t="s">
        <v>2731</v>
      </c>
      <c r="E228" t="s">
        <v>54</v>
      </c>
    </row>
    <row r="229" spans="8:8">
      <c r="A229">
        <v>228.0</v>
      </c>
      <c r="B229" t="s">
        <v>39</v>
      </c>
      <c r="C229" t="s">
        <v>2732</v>
      </c>
      <c r="E229" t="s">
        <v>54</v>
      </c>
    </row>
    <row r="230" spans="8:8">
      <c r="A230">
        <v>229.0</v>
      </c>
      <c r="B230" t="s">
        <v>42</v>
      </c>
      <c r="C230" t="s">
        <v>2733</v>
      </c>
      <c r="E230" t="s">
        <v>54</v>
      </c>
    </row>
    <row r="231" spans="8:8">
      <c r="A231">
        <v>230.0</v>
      </c>
      <c r="B231" t="s">
        <v>42</v>
      </c>
      <c r="C231" t="s">
        <v>2734</v>
      </c>
      <c r="E231" t="s">
        <v>54</v>
      </c>
    </row>
    <row r="232" spans="8:8">
      <c r="A232">
        <v>231.0</v>
      </c>
      <c r="B232" t="s">
        <v>42</v>
      </c>
      <c r="C232" t="s">
        <v>2735</v>
      </c>
      <c r="E232" t="s">
        <v>54</v>
      </c>
    </row>
  </sheetData>
  <sheetProtection sheet="0" formatCells="0" insertHyperlinks="0" autoFilter="0"/>
  <autoFilter ref="B1:B232">
    <filterColumn colId="0" showButton="1"/>
  </autoFilter>
  <pageMargins left="0.7" right="0.7" top="0.75" bottom="0.75" header="0.3" footer="0.3"/>
</worksheet>
</file>

<file path=xl/worksheets/sheet8.xml><?xml version="1.0" encoding="utf-8"?>
<worksheet xmlns:r="http://schemas.openxmlformats.org/officeDocument/2006/relationships" xmlns="http://schemas.openxmlformats.org/spreadsheetml/2006/main">
  <sheetPr>
    <tabColor rgb="FFFFC000"/>
  </sheetPr>
  <dimension ref="A1:G103"/>
  <sheetViews>
    <sheetView workbookViewId="0" zoomScale="78">
      <selection activeCell="D103" sqref="D103"/>
    </sheetView>
  </sheetViews>
  <sheetFormatPr defaultRowHeight="13.5" defaultColWidth="9"/>
  <cols>
    <col min="1" max="3" customWidth="1" width="10.625" style="0"/>
    <col min="4" max="4" customWidth="1" width="65.625" style="0"/>
    <col min="5" max="5" customWidth="1" width="10.625" style="0"/>
  </cols>
  <sheetData>
    <row r="1" spans="8:8">
      <c r="A1" t="s">
        <v>105</v>
      </c>
      <c r="B1" t="s">
        <v>17</v>
      </c>
      <c r="C1" t="s">
        <v>106</v>
      </c>
      <c r="D1" t="s">
        <v>107</v>
      </c>
      <c r="E1" t="s">
        <v>108</v>
      </c>
    </row>
    <row r="2" spans="8:8">
      <c r="A2">
        <v>1.0</v>
      </c>
      <c r="B2" t="s">
        <v>39</v>
      </c>
      <c r="C2" t="s">
        <v>2697</v>
      </c>
      <c r="D2" t="s">
        <v>2736</v>
      </c>
    </row>
    <row r="3" spans="8:8">
      <c r="A3">
        <v>2.0</v>
      </c>
      <c r="B3" t="s">
        <v>39</v>
      </c>
      <c r="C3" t="s">
        <v>2737</v>
      </c>
      <c r="D3" t="s">
        <v>2738</v>
      </c>
    </row>
    <row r="4" spans="8:8">
      <c r="A4">
        <v>3.0</v>
      </c>
      <c r="B4" t="s">
        <v>39</v>
      </c>
      <c r="C4" t="s">
        <v>2739</v>
      </c>
      <c r="D4" t="s">
        <v>2740</v>
      </c>
    </row>
    <row r="5" spans="8:8">
      <c r="A5">
        <v>4.0</v>
      </c>
      <c r="B5" t="s">
        <v>39</v>
      </c>
      <c r="C5" t="s">
        <v>2741</v>
      </c>
      <c r="D5" t="s">
        <v>2742</v>
      </c>
    </row>
    <row r="6" spans="8:8">
      <c r="A6">
        <v>5.0</v>
      </c>
      <c r="B6" t="s">
        <v>39</v>
      </c>
      <c r="C6" t="s">
        <v>2743</v>
      </c>
      <c r="D6" t="s">
        <v>2744</v>
      </c>
    </row>
    <row r="7" spans="8:8">
      <c r="A7">
        <v>6.0</v>
      </c>
      <c r="B7" t="s">
        <v>39</v>
      </c>
      <c r="C7" t="s">
        <v>2745</v>
      </c>
      <c r="D7" t="s">
        <v>2746</v>
      </c>
    </row>
    <row r="8" spans="8:8">
      <c r="A8">
        <v>7.0</v>
      </c>
      <c r="B8" t="s">
        <v>39</v>
      </c>
      <c r="C8" t="s">
        <v>2747</v>
      </c>
      <c r="D8" t="s">
        <v>2748</v>
      </c>
    </row>
    <row r="9" spans="8:8">
      <c r="A9">
        <v>8.0</v>
      </c>
      <c r="B9" t="s">
        <v>39</v>
      </c>
      <c r="C9" t="s">
        <v>2749</v>
      </c>
      <c r="D9" t="s">
        <v>2750</v>
      </c>
    </row>
    <row r="10" spans="8:8">
      <c r="A10">
        <v>9.0</v>
      </c>
      <c r="B10" t="s">
        <v>39</v>
      </c>
      <c r="C10" t="s">
        <v>2751</v>
      </c>
      <c r="D10" t="s">
        <v>2752</v>
      </c>
    </row>
    <row r="11" spans="8:8">
      <c r="A11">
        <v>10.0</v>
      </c>
      <c r="B11" t="s">
        <v>39</v>
      </c>
      <c r="C11" t="s">
        <v>2753</v>
      </c>
      <c r="D11" t="s">
        <v>2754</v>
      </c>
    </row>
    <row r="12" spans="8:8">
      <c r="A12">
        <v>11.0</v>
      </c>
      <c r="B12" t="s">
        <v>39</v>
      </c>
      <c r="C12" t="s">
        <v>2755</v>
      </c>
      <c r="D12" t="s">
        <v>2756</v>
      </c>
    </row>
    <row r="13" spans="8:8">
      <c r="A13">
        <v>12.0</v>
      </c>
      <c r="B13" t="s">
        <v>39</v>
      </c>
      <c r="C13" t="s">
        <v>2757</v>
      </c>
      <c r="D13" t="s">
        <v>2758</v>
      </c>
    </row>
    <row r="14" spans="8:8">
      <c r="A14">
        <v>13.0</v>
      </c>
      <c r="B14" t="s">
        <v>39</v>
      </c>
      <c r="C14" t="s">
        <v>2759</v>
      </c>
      <c r="D14" t="s">
        <v>2760</v>
      </c>
    </row>
    <row r="15" spans="8:8">
      <c r="A15">
        <v>14.0</v>
      </c>
      <c r="B15" t="s">
        <v>39</v>
      </c>
      <c r="C15" t="s">
        <v>2761</v>
      </c>
      <c r="D15" t="s">
        <v>2762</v>
      </c>
    </row>
    <row r="16" spans="8:8">
      <c r="A16">
        <v>15.0</v>
      </c>
      <c r="B16" t="s">
        <v>39</v>
      </c>
      <c r="C16" t="s">
        <v>2763</v>
      </c>
      <c r="D16" t="s">
        <v>2764</v>
      </c>
    </row>
    <row r="17" spans="8:8">
      <c r="A17">
        <v>16.0</v>
      </c>
      <c r="B17" t="s">
        <v>39</v>
      </c>
      <c r="C17" t="s">
        <v>716</v>
      </c>
      <c r="D17" t="s">
        <v>2765</v>
      </c>
    </row>
    <row r="18" spans="8:8">
      <c r="A18">
        <v>17.0</v>
      </c>
      <c r="B18" t="s">
        <v>39</v>
      </c>
      <c r="C18" t="s">
        <v>2766</v>
      </c>
      <c r="D18" t="s">
        <v>2767</v>
      </c>
    </row>
    <row r="19" spans="8:8">
      <c r="A19">
        <v>18.0</v>
      </c>
      <c r="B19" t="s">
        <v>39</v>
      </c>
      <c r="C19" t="s">
        <v>2768</v>
      </c>
      <c r="D19" t="s">
        <v>2769</v>
      </c>
    </row>
    <row r="20" spans="8:8">
      <c r="A20">
        <v>19.0</v>
      </c>
      <c r="B20" t="s">
        <v>39</v>
      </c>
      <c r="C20" t="s">
        <v>1559</v>
      </c>
      <c r="D20" t="s">
        <v>2770</v>
      </c>
    </row>
    <row r="21" spans="8:8">
      <c r="A21">
        <v>20.0</v>
      </c>
      <c r="B21" t="s">
        <v>42</v>
      </c>
      <c r="C21" t="s">
        <v>2771</v>
      </c>
      <c r="E21" t="s">
        <v>50</v>
      </c>
    </row>
    <row r="22" spans="8:8">
      <c r="A22">
        <v>21.0</v>
      </c>
      <c r="B22" t="s">
        <v>30</v>
      </c>
      <c r="C22" t="s">
        <v>2772</v>
      </c>
      <c r="E22" t="s">
        <v>50</v>
      </c>
    </row>
    <row r="23" spans="8:8">
      <c r="A23">
        <v>22.0</v>
      </c>
      <c r="B23" t="s">
        <v>39</v>
      </c>
      <c r="C23" t="s">
        <v>2773</v>
      </c>
      <c r="E23" t="s">
        <v>50</v>
      </c>
    </row>
    <row r="24" spans="8:8">
      <c r="A24">
        <v>23.0</v>
      </c>
      <c r="B24" t="s">
        <v>39</v>
      </c>
      <c r="C24" t="s">
        <v>2774</v>
      </c>
      <c r="E24" t="s">
        <v>50</v>
      </c>
    </row>
    <row r="25" spans="8:8">
      <c r="A25">
        <v>24.0</v>
      </c>
      <c r="B25" t="s">
        <v>39</v>
      </c>
      <c r="C25" t="s">
        <v>2775</v>
      </c>
      <c r="E25" t="s">
        <v>50</v>
      </c>
    </row>
    <row r="26" spans="8:8">
      <c r="A26">
        <v>25.0</v>
      </c>
      <c r="B26" t="s">
        <v>42</v>
      </c>
      <c r="C26" t="s">
        <v>2776</v>
      </c>
      <c r="E26" t="s">
        <v>50</v>
      </c>
    </row>
    <row r="27" spans="8:8">
      <c r="A27">
        <v>26.0</v>
      </c>
      <c r="B27" t="s">
        <v>42</v>
      </c>
      <c r="C27" t="s">
        <v>2777</v>
      </c>
      <c r="E27" t="s">
        <v>50</v>
      </c>
    </row>
    <row r="28" spans="8:8">
      <c r="A28">
        <v>27.0</v>
      </c>
      <c r="B28" t="s">
        <v>30</v>
      </c>
      <c r="C28" t="s">
        <v>2778</v>
      </c>
      <c r="D28" t="s">
        <v>2779</v>
      </c>
    </row>
    <row r="29" spans="8:8">
      <c r="A29">
        <v>28.0</v>
      </c>
      <c r="B29" t="s">
        <v>33</v>
      </c>
      <c r="C29" t="s">
        <v>1829</v>
      </c>
      <c r="D29" t="s">
        <v>2780</v>
      </c>
    </row>
    <row r="30" spans="8:8">
      <c r="A30">
        <v>29.0</v>
      </c>
      <c r="B30" t="s">
        <v>42</v>
      </c>
      <c r="C30" t="s">
        <v>679</v>
      </c>
      <c r="D30" t="s">
        <v>2781</v>
      </c>
    </row>
    <row r="31" spans="8:8">
      <c r="A31">
        <v>30.0</v>
      </c>
      <c r="B31" t="s">
        <v>36</v>
      </c>
      <c r="C31" t="s">
        <v>2782</v>
      </c>
      <c r="D31" t="s">
        <v>2783</v>
      </c>
    </row>
    <row r="32" spans="8:8">
      <c r="A32">
        <v>31.0</v>
      </c>
      <c r="B32" t="s">
        <v>30</v>
      </c>
      <c r="C32" t="s">
        <v>2784</v>
      </c>
      <c r="D32" t="s">
        <v>2785</v>
      </c>
    </row>
    <row r="33" spans="8:8">
      <c r="A33">
        <v>32.0</v>
      </c>
      <c r="B33" t="s">
        <v>36</v>
      </c>
      <c r="C33" t="s">
        <v>2786</v>
      </c>
      <c r="D33" t="s">
        <v>2787</v>
      </c>
    </row>
    <row r="34" spans="8:8">
      <c r="A34">
        <v>33.0</v>
      </c>
      <c r="B34" t="s">
        <v>39</v>
      </c>
      <c r="C34" t="s">
        <v>2788</v>
      </c>
      <c r="D34" t="s">
        <v>2789</v>
      </c>
    </row>
    <row r="35" spans="8:8">
      <c r="A35">
        <v>34.0</v>
      </c>
      <c r="B35" t="s">
        <v>39</v>
      </c>
      <c r="C35" t="s">
        <v>2790</v>
      </c>
      <c r="D35" t="s">
        <v>2791</v>
      </c>
    </row>
    <row r="36" spans="8:8">
      <c r="A36">
        <v>35.0</v>
      </c>
      <c r="B36" t="s">
        <v>42</v>
      </c>
      <c r="C36" t="s">
        <v>2792</v>
      </c>
      <c r="D36" t="s">
        <v>2793</v>
      </c>
    </row>
    <row r="37" spans="8:8">
      <c r="A37">
        <v>36.0</v>
      </c>
      <c r="B37" t="s">
        <v>42</v>
      </c>
      <c r="C37" t="s">
        <v>2794</v>
      </c>
      <c r="D37" t="s">
        <v>2795</v>
      </c>
    </row>
    <row r="38" spans="8:8">
      <c r="A38">
        <v>37.0</v>
      </c>
      <c r="B38" t="s">
        <v>33</v>
      </c>
      <c r="C38" t="s">
        <v>2796</v>
      </c>
      <c r="D38" t="s">
        <v>2797</v>
      </c>
    </row>
    <row r="39" spans="8:8">
      <c r="A39">
        <v>38.0</v>
      </c>
      <c r="B39" t="s">
        <v>33</v>
      </c>
      <c r="C39" t="s">
        <v>2798</v>
      </c>
      <c r="D39" t="s">
        <v>2799</v>
      </c>
    </row>
    <row r="40" spans="8:8">
      <c r="A40">
        <v>39.0</v>
      </c>
      <c r="B40" t="s">
        <v>36</v>
      </c>
      <c r="C40" t="s">
        <v>2800</v>
      </c>
      <c r="D40" t="s">
        <v>2801</v>
      </c>
    </row>
    <row r="41" spans="8:8">
      <c r="A41">
        <v>40.0</v>
      </c>
      <c r="B41" t="s">
        <v>30</v>
      </c>
      <c r="C41" t="s">
        <v>2802</v>
      </c>
      <c r="D41" t="s">
        <v>2803</v>
      </c>
    </row>
    <row r="42" spans="8:8">
      <c r="A42">
        <v>41.0</v>
      </c>
      <c r="B42" t="s">
        <v>33</v>
      </c>
      <c r="C42" t="s">
        <v>2804</v>
      </c>
      <c r="D42" t="s">
        <v>2805</v>
      </c>
    </row>
    <row r="43" spans="8:8">
      <c r="A43">
        <v>42.0</v>
      </c>
      <c r="B43" t="s">
        <v>42</v>
      </c>
      <c r="C43" t="s">
        <v>2806</v>
      </c>
      <c r="D43" t="s">
        <v>2807</v>
      </c>
    </row>
    <row r="44" spans="8:8">
      <c r="A44">
        <v>43.0</v>
      </c>
      <c r="B44" t="s">
        <v>36</v>
      </c>
      <c r="C44" t="s">
        <v>2808</v>
      </c>
      <c r="D44" t="s">
        <v>2809</v>
      </c>
    </row>
    <row r="45" spans="8:8">
      <c r="A45">
        <v>44.0</v>
      </c>
      <c r="B45" t="s">
        <v>36</v>
      </c>
      <c r="C45" t="s">
        <v>2810</v>
      </c>
      <c r="D45" t="s">
        <v>2811</v>
      </c>
    </row>
    <row r="46" spans="8:8">
      <c r="A46">
        <v>45.0</v>
      </c>
      <c r="B46" t="s">
        <v>39</v>
      </c>
      <c r="C46" t="s">
        <v>2812</v>
      </c>
      <c r="D46" t="s">
        <v>2813</v>
      </c>
    </row>
    <row r="47" spans="8:8">
      <c r="A47">
        <v>46.0</v>
      </c>
      <c r="B47" t="s">
        <v>30</v>
      </c>
      <c r="C47" t="s">
        <v>2814</v>
      </c>
      <c r="D47" t="s">
        <v>2815</v>
      </c>
    </row>
    <row r="48" spans="8:8">
      <c r="A48">
        <v>47.0</v>
      </c>
      <c r="B48" t="s">
        <v>33</v>
      </c>
      <c r="C48" t="s">
        <v>2816</v>
      </c>
      <c r="D48" t="s">
        <v>2817</v>
      </c>
    </row>
    <row r="49" spans="8:8">
      <c r="A49">
        <v>48.0</v>
      </c>
      <c r="B49" t="s">
        <v>30</v>
      </c>
      <c r="C49" t="s">
        <v>2818</v>
      </c>
      <c r="D49" t="s">
        <v>2819</v>
      </c>
    </row>
    <row r="50" spans="8:8">
      <c r="A50">
        <v>49.0</v>
      </c>
      <c r="B50" t="s">
        <v>30</v>
      </c>
      <c r="C50" t="s">
        <v>2820</v>
      </c>
      <c r="D50" t="s">
        <v>2821</v>
      </c>
    </row>
    <row r="51" spans="8:8">
      <c r="A51">
        <v>50.0</v>
      </c>
      <c r="B51" t="s">
        <v>36</v>
      </c>
      <c r="C51" t="s">
        <v>2822</v>
      </c>
      <c r="D51" t="s">
        <v>2823</v>
      </c>
    </row>
    <row r="52" spans="8:8">
      <c r="A52">
        <v>51.0</v>
      </c>
      <c r="B52" t="s">
        <v>33</v>
      </c>
      <c r="C52" t="s">
        <v>2824</v>
      </c>
      <c r="D52" t="s">
        <v>2825</v>
      </c>
    </row>
    <row r="53" spans="8:8">
      <c r="A53">
        <v>52.0</v>
      </c>
      <c r="B53" t="s">
        <v>42</v>
      </c>
      <c r="C53" t="s">
        <v>2826</v>
      </c>
      <c r="D53" t="s">
        <v>2827</v>
      </c>
    </row>
    <row r="54" spans="8:8">
      <c r="A54">
        <v>53.0</v>
      </c>
      <c r="B54" t="s">
        <v>39</v>
      </c>
      <c r="C54" t="s">
        <v>2828</v>
      </c>
      <c r="D54" t="s">
        <v>2829</v>
      </c>
    </row>
    <row r="55" spans="8:8">
      <c r="A55">
        <v>54.0</v>
      </c>
      <c r="B55" t="s">
        <v>42</v>
      </c>
      <c r="C55" t="s">
        <v>2830</v>
      </c>
      <c r="D55" t="s">
        <v>2831</v>
      </c>
    </row>
    <row r="56" spans="8:8">
      <c r="A56">
        <v>55.0</v>
      </c>
      <c r="B56" t="s">
        <v>39</v>
      </c>
      <c r="C56" t="s">
        <v>2832</v>
      </c>
      <c r="D56" t="s">
        <v>2833</v>
      </c>
    </row>
    <row r="57" spans="8:8">
      <c r="A57">
        <v>56.0</v>
      </c>
      <c r="B57" t="s">
        <v>30</v>
      </c>
      <c r="C57" t="s">
        <v>2834</v>
      </c>
      <c r="D57" t="s">
        <v>2835</v>
      </c>
    </row>
    <row r="58" spans="8:8">
      <c r="A58">
        <v>57.0</v>
      </c>
      <c r="B58" t="s">
        <v>33</v>
      </c>
      <c r="C58" t="s">
        <v>2836</v>
      </c>
      <c r="D58" t="s">
        <v>2837</v>
      </c>
    </row>
    <row r="59" spans="8:8">
      <c r="A59">
        <v>58.0</v>
      </c>
      <c r="B59" t="s">
        <v>33</v>
      </c>
      <c r="C59" t="s">
        <v>2838</v>
      </c>
      <c r="D59" t="s">
        <v>2839</v>
      </c>
    </row>
    <row r="60" spans="8:8">
      <c r="A60">
        <v>59.0</v>
      </c>
      <c r="B60" t="s">
        <v>42</v>
      </c>
      <c r="C60" t="s">
        <v>2840</v>
      </c>
      <c r="D60" t="s">
        <v>2841</v>
      </c>
    </row>
    <row r="61" spans="8:8" ht="13.5" customFormat="1">
      <c r="A61">
        <v>60.0</v>
      </c>
      <c r="B61" t="s">
        <v>33</v>
      </c>
      <c r="C61" t="s">
        <v>2842</v>
      </c>
      <c r="D61" t="s">
        <v>2843</v>
      </c>
    </row>
    <row r="62" spans="8:8" ht="13.5" customFormat="1">
      <c r="A62">
        <v>61.0</v>
      </c>
      <c r="B62" t="s">
        <v>33</v>
      </c>
      <c r="C62" t="s">
        <v>2844</v>
      </c>
      <c r="D62" t="s">
        <v>2845</v>
      </c>
    </row>
    <row r="63" spans="8:8">
      <c r="A63">
        <v>62.0</v>
      </c>
      <c r="B63" t="s">
        <v>30</v>
      </c>
      <c r="C63" t="s">
        <v>2846</v>
      </c>
      <c r="D63" t="s">
        <v>2847</v>
      </c>
    </row>
    <row r="64" spans="8:8">
      <c r="A64">
        <v>63.0</v>
      </c>
      <c r="B64" t="s">
        <v>39</v>
      </c>
      <c r="C64" t="s">
        <v>2848</v>
      </c>
      <c r="D64" t="s">
        <v>2849</v>
      </c>
    </row>
    <row r="65" spans="8:8">
      <c r="A65">
        <v>64.0</v>
      </c>
      <c r="B65" t="s">
        <v>39</v>
      </c>
      <c r="C65" t="s">
        <v>2850</v>
      </c>
      <c r="D65" s="1" t="s">
        <v>2851</v>
      </c>
    </row>
    <row r="66" spans="8:8">
      <c r="A66">
        <v>65.0</v>
      </c>
      <c r="B66" t="s">
        <v>39</v>
      </c>
      <c r="C66" t="s">
        <v>2852</v>
      </c>
      <c r="D66" t="s">
        <v>2853</v>
      </c>
    </row>
    <row r="67" spans="8:8" ht="27.0">
      <c r="A67">
        <v>66.0</v>
      </c>
      <c r="B67" t="s">
        <v>39</v>
      </c>
      <c r="C67" t="s">
        <v>2854</v>
      </c>
      <c r="D67" s="1" t="s">
        <v>2855</v>
      </c>
    </row>
    <row r="68" spans="8:8">
      <c r="A68">
        <v>67.0</v>
      </c>
      <c r="B68" t="s">
        <v>39</v>
      </c>
      <c r="C68" t="s">
        <v>2856</v>
      </c>
      <c r="D68" t="s">
        <v>2857</v>
      </c>
    </row>
    <row r="69" spans="8:8">
      <c r="A69">
        <v>68.0</v>
      </c>
      <c r="B69" t="s">
        <v>39</v>
      </c>
      <c r="C69" t="s">
        <v>2858</v>
      </c>
      <c r="D69" t="s">
        <v>250</v>
      </c>
    </row>
    <row r="70" spans="8:8">
      <c r="A70">
        <v>69.0</v>
      </c>
      <c r="B70" t="s">
        <v>39</v>
      </c>
      <c r="C70" t="s">
        <v>251</v>
      </c>
      <c r="D70" t="s">
        <v>252</v>
      </c>
    </row>
    <row r="71" spans="8:8">
      <c r="A71">
        <v>70.0</v>
      </c>
      <c r="B71" t="s">
        <v>39</v>
      </c>
      <c r="C71" t="s">
        <v>253</v>
      </c>
      <c r="D71" t="s">
        <v>254</v>
      </c>
    </row>
    <row r="72" spans="8:8">
      <c r="A72">
        <v>71.0</v>
      </c>
      <c r="B72" t="s">
        <v>30</v>
      </c>
      <c r="C72" t="s">
        <v>2859</v>
      </c>
      <c r="D72" t="s">
        <v>2860</v>
      </c>
    </row>
    <row r="73" spans="8:8">
      <c r="A73">
        <v>72.0</v>
      </c>
      <c r="B73" t="s">
        <v>30</v>
      </c>
      <c r="C73" t="s">
        <v>2660</v>
      </c>
      <c r="E73" t="s">
        <v>54</v>
      </c>
    </row>
    <row r="74" spans="8:8">
      <c r="A74">
        <v>73.0</v>
      </c>
      <c r="B74" t="s">
        <v>42</v>
      </c>
      <c r="C74" t="s">
        <v>2861</v>
      </c>
      <c r="E74" t="s">
        <v>54</v>
      </c>
    </row>
    <row r="75" spans="8:8">
      <c r="A75">
        <v>74.0</v>
      </c>
      <c r="B75" t="s">
        <v>42</v>
      </c>
      <c r="C75" t="s">
        <v>2862</v>
      </c>
      <c r="E75" t="s">
        <v>54</v>
      </c>
    </row>
    <row r="76" spans="8:8">
      <c r="A76">
        <v>75.0</v>
      </c>
      <c r="B76" t="s">
        <v>39</v>
      </c>
      <c r="C76" t="s">
        <v>2863</v>
      </c>
      <c r="E76" t="s">
        <v>54</v>
      </c>
    </row>
    <row r="77" spans="8:8">
      <c r="A77">
        <v>76.0</v>
      </c>
      <c r="B77" t="s">
        <v>39</v>
      </c>
      <c r="C77" t="s">
        <v>1346</v>
      </c>
      <c r="E77" t="s">
        <v>54</v>
      </c>
    </row>
    <row r="78" spans="8:8">
      <c r="A78">
        <v>77.0</v>
      </c>
      <c r="B78" t="s">
        <v>33</v>
      </c>
      <c r="C78" t="s">
        <v>2864</v>
      </c>
      <c r="E78" t="s">
        <v>54</v>
      </c>
    </row>
    <row r="79" spans="8:8">
      <c r="A79">
        <v>78.0</v>
      </c>
      <c r="B79" t="s">
        <v>39</v>
      </c>
      <c r="C79" t="s">
        <v>2674</v>
      </c>
      <c r="E79" t="s">
        <v>54</v>
      </c>
    </row>
    <row r="80" spans="8:8">
      <c r="A80">
        <v>79.0</v>
      </c>
      <c r="B80" t="s">
        <v>39</v>
      </c>
      <c r="C80" t="s">
        <v>2622</v>
      </c>
      <c r="E80" t="s">
        <v>54</v>
      </c>
    </row>
    <row r="81" spans="8:8">
      <c r="A81">
        <v>80.0</v>
      </c>
      <c r="B81" t="s">
        <v>42</v>
      </c>
      <c r="C81" t="s">
        <v>2865</v>
      </c>
      <c r="E81" t="s">
        <v>54</v>
      </c>
    </row>
    <row r="82" spans="8:8">
      <c r="A82">
        <v>81.0</v>
      </c>
      <c r="B82" t="s">
        <v>39</v>
      </c>
      <c r="C82" t="s">
        <v>2866</v>
      </c>
      <c r="E82" t="s">
        <v>54</v>
      </c>
    </row>
    <row r="83" spans="8:8">
      <c r="A83">
        <v>82.0</v>
      </c>
      <c r="B83" t="s">
        <v>42</v>
      </c>
      <c r="C83" t="s">
        <v>2867</v>
      </c>
      <c r="E83" t="s">
        <v>54</v>
      </c>
    </row>
    <row r="84" spans="8:8">
      <c r="A84">
        <v>83.0</v>
      </c>
      <c r="B84" t="s">
        <v>42</v>
      </c>
      <c r="C84" t="s">
        <v>2868</v>
      </c>
      <c r="E84" t="s">
        <v>54</v>
      </c>
    </row>
    <row r="85" spans="8:8">
      <c r="A85">
        <v>84.0</v>
      </c>
      <c r="B85" t="s">
        <v>30</v>
      </c>
      <c r="C85" t="s">
        <v>2869</v>
      </c>
      <c r="E85" t="s">
        <v>54</v>
      </c>
    </row>
    <row r="86" spans="8:8">
      <c r="A86">
        <v>85.0</v>
      </c>
      <c r="B86" t="s">
        <v>39</v>
      </c>
      <c r="C86" t="s">
        <v>2870</v>
      </c>
      <c r="E86" t="s">
        <v>54</v>
      </c>
    </row>
    <row r="87" spans="8:8">
      <c r="A87">
        <v>86.0</v>
      </c>
      <c r="B87" t="s">
        <v>42</v>
      </c>
      <c r="C87" t="s">
        <v>2871</v>
      </c>
      <c r="E87" t="s">
        <v>54</v>
      </c>
    </row>
    <row r="88" spans="8:8">
      <c r="A88">
        <v>87.0</v>
      </c>
      <c r="B88" t="s">
        <v>42</v>
      </c>
      <c r="C88" t="s">
        <v>2872</v>
      </c>
      <c r="E88" t="s">
        <v>54</v>
      </c>
    </row>
    <row r="89" spans="8:8">
      <c r="A89">
        <v>88.0</v>
      </c>
      <c r="B89" t="s">
        <v>42</v>
      </c>
      <c r="C89" t="s">
        <v>1864</v>
      </c>
      <c r="E89" t="s">
        <v>54</v>
      </c>
    </row>
    <row r="90" spans="8:8">
      <c r="A90">
        <v>89.0</v>
      </c>
      <c r="B90" t="s">
        <v>36</v>
      </c>
      <c r="C90" t="s">
        <v>2873</v>
      </c>
      <c r="E90" t="s">
        <v>54</v>
      </c>
    </row>
    <row r="91" spans="8:8">
      <c r="A91">
        <v>90.0</v>
      </c>
      <c r="B91" t="s">
        <v>39</v>
      </c>
      <c r="C91" t="s">
        <v>2874</v>
      </c>
      <c r="E91" t="s">
        <v>54</v>
      </c>
    </row>
    <row r="92" spans="8:8">
      <c r="A92">
        <v>91.0</v>
      </c>
      <c r="B92" t="s">
        <v>42</v>
      </c>
      <c r="C92" t="s">
        <v>1256</v>
      </c>
      <c r="E92" t="s">
        <v>54</v>
      </c>
    </row>
    <row r="93" spans="8:8">
      <c r="A93">
        <v>92.0</v>
      </c>
      <c r="B93" t="s">
        <v>39</v>
      </c>
      <c r="C93" t="s">
        <v>2875</v>
      </c>
      <c r="E93" t="s">
        <v>54</v>
      </c>
    </row>
    <row r="94" spans="8:8">
      <c r="A94">
        <v>93.0</v>
      </c>
      <c r="B94" t="s">
        <v>42</v>
      </c>
      <c r="C94" t="s">
        <v>2776</v>
      </c>
      <c r="E94" t="s">
        <v>54</v>
      </c>
    </row>
    <row r="95" spans="8:8">
      <c r="A95">
        <v>94.0</v>
      </c>
      <c r="B95" t="s">
        <v>33</v>
      </c>
      <c r="C95" t="s">
        <v>2876</v>
      </c>
      <c r="E95" t="s">
        <v>54</v>
      </c>
    </row>
    <row r="96" spans="8:8">
      <c r="A96">
        <v>95.0</v>
      </c>
      <c r="B96" t="s">
        <v>42</v>
      </c>
      <c r="C96" t="s">
        <v>1731</v>
      </c>
      <c r="E96" t="s">
        <v>54</v>
      </c>
    </row>
    <row r="97" spans="8:8">
      <c r="A97">
        <v>96.0</v>
      </c>
      <c r="B97" t="s">
        <v>42</v>
      </c>
      <c r="C97" t="s">
        <v>2877</v>
      </c>
      <c r="E97" t="s">
        <v>54</v>
      </c>
    </row>
    <row r="98" spans="8:8">
      <c r="A98">
        <v>97.0</v>
      </c>
      <c r="B98" t="s">
        <v>42</v>
      </c>
      <c r="C98" t="s">
        <v>2878</v>
      </c>
      <c r="E98" t="s">
        <v>54</v>
      </c>
    </row>
    <row r="99" spans="8:8">
      <c r="A99">
        <v>98.0</v>
      </c>
      <c r="B99" t="s">
        <v>42</v>
      </c>
      <c r="C99" t="s">
        <v>2879</v>
      </c>
      <c r="E99" t="s">
        <v>54</v>
      </c>
    </row>
    <row r="100" spans="8:8">
      <c r="A100">
        <v>99.0</v>
      </c>
      <c r="B100" t="s">
        <v>30</v>
      </c>
      <c r="C100" t="s">
        <v>2880</v>
      </c>
      <c r="D100" t="s">
        <v>2881</v>
      </c>
      <c r="E100" t="s">
        <v>2882</v>
      </c>
    </row>
    <row r="101" spans="8:8">
      <c r="A101">
        <v>100.0</v>
      </c>
      <c r="B101" s="37" t="s">
        <v>36</v>
      </c>
      <c r="C101" s="37" t="s">
        <v>2883</v>
      </c>
      <c r="D101" s="37" t="s">
        <v>2884</v>
      </c>
    </row>
    <row r="102" spans="8:8">
      <c r="A102">
        <v>101.0</v>
      </c>
      <c r="B102" s="37" t="s">
        <v>36</v>
      </c>
      <c r="C102" s="37" t="s">
        <v>2885</v>
      </c>
      <c r="D102" s="37" t="s">
        <v>2886</v>
      </c>
    </row>
    <row r="103" spans="8:8">
      <c r="A103">
        <v>102.0</v>
      </c>
      <c r="B103" s="37" t="s">
        <v>42</v>
      </c>
      <c r="C103" s="37" t="s">
        <v>2887</v>
      </c>
      <c r="D103" s="37" t="s">
        <v>2888</v>
      </c>
    </row>
  </sheetData>
  <sheetProtection sheet="0" formatCells="0" insertHyperlinks="0" autoFilter="0"/>
  <autoFilter ref="A1:E103">
    <filterColumn colId="0" showButton="1"/>
  </autoFilter>
  <pageMargins left="0.7" right="0.7" top="0.75" bottom="0.75" header="0.3" footer="0.3"/>
</worksheet>
</file>

<file path=xl/worksheets/sheet9.xml><?xml version="1.0" encoding="utf-8"?>
<worksheet xmlns:r="http://schemas.openxmlformats.org/officeDocument/2006/relationships" xmlns="http://schemas.openxmlformats.org/spreadsheetml/2006/main">
  <dimension ref="A1:G39"/>
  <sheetViews>
    <sheetView workbookViewId="0" topLeftCell="A13">
      <selection activeCell="D8" sqref="D8"/>
    </sheetView>
  </sheetViews>
  <sheetFormatPr defaultRowHeight="13.5" defaultColWidth="9"/>
  <cols>
    <col min="1" max="3" customWidth="1" width="10.625" style="0"/>
    <col min="4" max="4" customWidth="1" width="65.625" style="0"/>
    <col min="5" max="5" customWidth="1" width="10.625" style="0"/>
  </cols>
  <sheetData>
    <row r="1" spans="8:8">
      <c r="A1" t="s">
        <v>105</v>
      </c>
      <c r="B1" t="s">
        <v>17</v>
      </c>
      <c r="C1" t="s">
        <v>106</v>
      </c>
      <c r="D1" t="s">
        <v>107</v>
      </c>
      <c r="E1" t="s">
        <v>108</v>
      </c>
    </row>
    <row r="2" spans="8:8">
      <c r="A2">
        <v>1.0</v>
      </c>
      <c r="B2" t="s">
        <v>39</v>
      </c>
      <c r="C2" t="s">
        <v>2889</v>
      </c>
      <c r="E2" t="s">
        <v>50</v>
      </c>
    </row>
    <row r="3" spans="8:8">
      <c r="A3">
        <v>2.0</v>
      </c>
      <c r="B3" t="s">
        <v>36</v>
      </c>
      <c r="C3" t="s">
        <v>2890</v>
      </c>
      <c r="D3" t="s">
        <v>2891</v>
      </c>
    </row>
    <row r="4" spans="8:8">
      <c r="A4">
        <v>3.0</v>
      </c>
      <c r="B4" t="s">
        <v>39</v>
      </c>
      <c r="C4" t="s">
        <v>2892</v>
      </c>
      <c r="D4" t="s">
        <v>2893</v>
      </c>
    </row>
    <row r="5" spans="8:8">
      <c r="A5">
        <v>4.0</v>
      </c>
      <c r="B5" t="s">
        <v>39</v>
      </c>
      <c r="C5" t="s">
        <v>2894</v>
      </c>
      <c r="D5" t="s">
        <v>2895</v>
      </c>
    </row>
    <row r="6" spans="8:8">
      <c r="A6">
        <v>5.0</v>
      </c>
      <c r="B6" t="s">
        <v>39</v>
      </c>
      <c r="C6" t="s">
        <v>2896</v>
      </c>
      <c r="D6" t="s">
        <v>2897</v>
      </c>
    </row>
    <row r="7" spans="8:8">
      <c r="A7">
        <v>6.0</v>
      </c>
      <c r="B7" t="s">
        <v>36</v>
      </c>
      <c r="C7" t="s">
        <v>2898</v>
      </c>
      <c r="D7" t="s">
        <v>2899</v>
      </c>
    </row>
    <row r="8" spans="8:8">
      <c r="A8">
        <v>7.0</v>
      </c>
      <c r="B8" t="s">
        <v>30</v>
      </c>
      <c r="C8" t="s">
        <v>2900</v>
      </c>
      <c r="D8" t="s">
        <v>2901</v>
      </c>
    </row>
    <row r="9" spans="8:8">
      <c r="A9">
        <v>8.0</v>
      </c>
      <c r="B9" t="s">
        <v>36</v>
      </c>
      <c r="C9" t="s">
        <v>2902</v>
      </c>
      <c r="D9" t="s">
        <v>2903</v>
      </c>
    </row>
    <row r="10" spans="8:8">
      <c r="A10">
        <v>9.0</v>
      </c>
      <c r="B10" t="s">
        <v>39</v>
      </c>
      <c r="C10" t="s">
        <v>2904</v>
      </c>
      <c r="D10" t="s">
        <v>2905</v>
      </c>
    </row>
    <row r="11" spans="8:8">
      <c r="A11">
        <v>10.0</v>
      </c>
      <c r="B11" t="s">
        <v>30</v>
      </c>
      <c r="C11" t="s">
        <v>2906</v>
      </c>
      <c r="D11" t="s">
        <v>2907</v>
      </c>
    </row>
    <row r="12" spans="8:8">
      <c r="A12">
        <v>11.0</v>
      </c>
      <c r="B12" t="s">
        <v>33</v>
      </c>
      <c r="C12" t="s">
        <v>2908</v>
      </c>
      <c r="D12" s="38" t="s">
        <v>2909</v>
      </c>
    </row>
    <row r="13" spans="8:8">
      <c r="A13">
        <v>12.0</v>
      </c>
      <c r="B13" t="s">
        <v>33</v>
      </c>
      <c r="C13" t="s">
        <v>2910</v>
      </c>
      <c r="D13" s="38" t="s">
        <v>2911</v>
      </c>
    </row>
    <row r="14" spans="8:8">
      <c r="A14">
        <v>13.0</v>
      </c>
      <c r="B14" t="s">
        <v>42</v>
      </c>
      <c r="C14" t="s">
        <v>2912</v>
      </c>
      <c r="D14" s="38" t="s">
        <v>2913</v>
      </c>
    </row>
    <row r="15" spans="8:8">
      <c r="A15">
        <v>14.0</v>
      </c>
      <c r="B15" t="s">
        <v>42</v>
      </c>
      <c r="C15" t="s">
        <v>2914</v>
      </c>
      <c r="D15" t="s">
        <v>2915</v>
      </c>
    </row>
    <row r="16" spans="8:8">
      <c r="A16">
        <v>15.0</v>
      </c>
      <c r="B16" t="s">
        <v>42</v>
      </c>
      <c r="C16" t="s">
        <v>2916</v>
      </c>
      <c r="D16" s="38" t="s">
        <v>2917</v>
      </c>
    </row>
    <row r="17" spans="8:8">
      <c r="A17">
        <v>16.0</v>
      </c>
      <c r="B17" t="s">
        <v>42</v>
      </c>
      <c r="C17" t="s">
        <v>2918</v>
      </c>
      <c r="D17" s="37" t="s">
        <v>2919</v>
      </c>
    </row>
    <row r="18" spans="8:8">
      <c r="A18">
        <v>17.0</v>
      </c>
      <c r="B18" t="s">
        <v>33</v>
      </c>
      <c r="C18" t="s">
        <v>2920</v>
      </c>
      <c r="D18" t="s">
        <v>2921</v>
      </c>
    </row>
    <row r="19" spans="8:8">
      <c r="A19">
        <v>18.0</v>
      </c>
      <c r="B19" t="s">
        <v>30</v>
      </c>
      <c r="C19" t="s">
        <v>2922</v>
      </c>
      <c r="D19" t="s">
        <v>2923</v>
      </c>
    </row>
    <row r="20" spans="8:8">
      <c r="A20">
        <v>19.0</v>
      </c>
      <c r="B20" t="s">
        <v>30</v>
      </c>
      <c r="C20" t="s">
        <v>2924</v>
      </c>
      <c r="D20" t="s">
        <v>2925</v>
      </c>
    </row>
    <row r="21" spans="8:8">
      <c r="A21">
        <v>20.0</v>
      </c>
      <c r="B21" t="s">
        <v>39</v>
      </c>
      <c r="C21" t="s">
        <v>2926</v>
      </c>
      <c r="D21" t="s">
        <v>2927</v>
      </c>
    </row>
    <row r="22" spans="8:8">
      <c r="A22">
        <v>21.0</v>
      </c>
      <c r="B22" t="s">
        <v>39</v>
      </c>
      <c r="C22" t="s">
        <v>2928</v>
      </c>
      <c r="D22" t="s">
        <v>2929</v>
      </c>
    </row>
    <row r="23" spans="8:8">
      <c r="A23">
        <v>22.0</v>
      </c>
      <c r="B23" t="s">
        <v>42</v>
      </c>
      <c r="C23" t="s">
        <v>2930</v>
      </c>
      <c r="D23" t="s">
        <v>2931</v>
      </c>
    </row>
    <row r="24" spans="8:8">
      <c r="A24">
        <v>23.0</v>
      </c>
      <c r="B24" t="s">
        <v>36</v>
      </c>
      <c r="C24" t="s">
        <v>2932</v>
      </c>
      <c r="D24" t="s">
        <v>2933</v>
      </c>
    </row>
    <row r="25" spans="8:8">
      <c r="A25">
        <v>24.0</v>
      </c>
      <c r="B25" t="s">
        <v>33</v>
      </c>
      <c r="C25" t="s">
        <v>2934</v>
      </c>
      <c r="D25" t="s">
        <v>2935</v>
      </c>
    </row>
    <row r="26" spans="8:8">
      <c r="A26">
        <v>25.0</v>
      </c>
      <c r="B26" t="s">
        <v>42</v>
      </c>
      <c r="C26" t="s">
        <v>2936</v>
      </c>
      <c r="E26" t="s">
        <v>54</v>
      </c>
    </row>
    <row r="27" spans="8:8">
      <c r="A27">
        <v>26.0</v>
      </c>
      <c r="B27" t="s">
        <v>42</v>
      </c>
      <c r="C27" t="s">
        <v>2937</v>
      </c>
      <c r="E27" t="s">
        <v>54</v>
      </c>
    </row>
    <row r="28" spans="8:8">
      <c r="A28">
        <v>27.0</v>
      </c>
      <c r="B28" t="s">
        <v>42</v>
      </c>
      <c r="C28" t="s">
        <v>2938</v>
      </c>
      <c r="E28" t="s">
        <v>54</v>
      </c>
    </row>
    <row r="29" spans="8:8">
      <c r="A29">
        <v>28.0</v>
      </c>
      <c r="B29" t="s">
        <v>39</v>
      </c>
      <c r="C29" t="s">
        <v>2939</v>
      </c>
      <c r="E29" t="s">
        <v>54</v>
      </c>
    </row>
    <row r="30" spans="8:8">
      <c r="A30">
        <v>29.0</v>
      </c>
      <c r="B30" s="37" t="s">
        <v>36</v>
      </c>
      <c r="C30" s="37" t="s">
        <v>2940</v>
      </c>
      <c r="D30" s="37" t="s">
        <v>2941</v>
      </c>
    </row>
    <row r="31" spans="8:8">
      <c r="A31">
        <v>30.0</v>
      </c>
      <c r="B31" s="37" t="s">
        <v>36</v>
      </c>
      <c r="C31" s="37" t="s">
        <v>2942</v>
      </c>
      <c r="D31" s="37" t="s">
        <v>2943</v>
      </c>
    </row>
    <row r="32" spans="8:8">
      <c r="A32">
        <v>31.0</v>
      </c>
      <c r="B32" s="37" t="s">
        <v>36</v>
      </c>
      <c r="C32" s="37" t="s">
        <v>2944</v>
      </c>
      <c r="D32" s="37" t="s">
        <v>2945</v>
      </c>
    </row>
    <row r="33" spans="8:8">
      <c r="A33">
        <v>32.0</v>
      </c>
      <c r="B33" s="37" t="s">
        <v>36</v>
      </c>
      <c r="C33" s="37" t="s">
        <v>2946</v>
      </c>
      <c r="D33" s="37" t="s">
        <v>2947</v>
      </c>
    </row>
    <row r="34" spans="8:8">
      <c r="A34">
        <v>33.0</v>
      </c>
      <c r="B34" s="37" t="s">
        <v>36</v>
      </c>
      <c r="C34" s="37" t="s">
        <v>2948</v>
      </c>
      <c r="D34" s="37" t="s">
        <v>2949</v>
      </c>
    </row>
    <row r="35" spans="8:8">
      <c r="A35">
        <v>34.0</v>
      </c>
      <c r="B35" s="37" t="s">
        <v>36</v>
      </c>
      <c r="C35" s="37" t="s">
        <v>2950</v>
      </c>
      <c r="D35" s="37" t="s">
        <v>2951</v>
      </c>
    </row>
    <row r="36" spans="8:8">
      <c r="A36">
        <v>35.0</v>
      </c>
      <c r="B36" s="37" t="s">
        <v>36</v>
      </c>
      <c r="C36" s="37" t="s">
        <v>2952</v>
      </c>
      <c r="D36" s="37" t="s">
        <v>2953</v>
      </c>
    </row>
    <row r="37" spans="8:8">
      <c r="A37">
        <v>36.0</v>
      </c>
      <c r="B37" s="37" t="s">
        <v>36</v>
      </c>
      <c r="C37" s="37" t="s">
        <v>2954</v>
      </c>
      <c r="D37" s="37" t="s">
        <v>2955</v>
      </c>
    </row>
    <row r="38" spans="8:8">
      <c r="A38">
        <v>37.0</v>
      </c>
      <c r="B38" s="37" t="s">
        <v>36</v>
      </c>
      <c r="C38" s="37" t="s">
        <v>2956</v>
      </c>
      <c r="D38" s="37" t="s">
        <v>2957</v>
      </c>
    </row>
    <row r="39" spans="8:8">
      <c r="A39">
        <v>38.0</v>
      </c>
      <c r="B39" s="37" t="s">
        <v>36</v>
      </c>
      <c r="C39" s="37" t="s">
        <v>2958</v>
      </c>
      <c r="D39" s="37" t="s">
        <v>2959</v>
      </c>
    </row>
  </sheetData>
  <sheetProtection sheet="0" formatCells="0" insertHyperlinks="0" autoFilter="0"/>
  <autoFilter ref="A1:E39">
    <filterColumn colId="0" showButton="1"/>
  </autoFilter>
  <pageMargins left="0.7" right="0.7" top="0.75" bottom="0.75" header="0.3" footer="0.3"/>
</worksheet>
</file>

<file path=xl/worksheets/sheet10.xml><?xml version="1.0" encoding="utf-8"?>
<worksheet xmlns:r="http://schemas.openxmlformats.org/officeDocument/2006/relationships" xmlns="http://schemas.openxmlformats.org/spreadsheetml/2006/main">
  <sheetPr>
    <tabColor rgb="FF000000"/>
  </sheetPr>
  <dimension ref="A1:G33"/>
  <sheetViews>
    <sheetView workbookViewId="0" topLeftCell="A6" zoomScale="92">
      <selection activeCell="D29" sqref="D29"/>
    </sheetView>
  </sheetViews>
  <sheetFormatPr defaultRowHeight="13.5" defaultColWidth="9"/>
  <cols>
    <col min="1" max="3" customWidth="1" width="10.625" style="0"/>
    <col min="4" max="4" customWidth="1" width="65.625" style="0"/>
    <col min="5" max="5" customWidth="1" width="10.625" style="0"/>
  </cols>
  <sheetData>
    <row r="1" spans="8:8">
      <c r="A1" t="s">
        <v>105</v>
      </c>
      <c r="B1" t="s">
        <v>17</v>
      </c>
      <c r="C1" t="s">
        <v>106</v>
      </c>
      <c r="D1" t="s">
        <v>107</v>
      </c>
      <c r="E1" t="s">
        <v>108</v>
      </c>
    </row>
    <row r="2" spans="8:8">
      <c r="A2">
        <v>1.0</v>
      </c>
      <c r="B2" t="s">
        <v>30</v>
      </c>
      <c r="C2" t="s">
        <v>2960</v>
      </c>
      <c r="D2" t="s">
        <v>2961</v>
      </c>
    </row>
    <row r="3" spans="8:8">
      <c r="A3">
        <v>2.0</v>
      </c>
      <c r="B3" t="s">
        <v>30</v>
      </c>
      <c r="C3" t="s">
        <v>2962</v>
      </c>
      <c r="D3" t="s">
        <v>2963</v>
      </c>
    </row>
    <row r="4" spans="8:8">
      <c r="A4">
        <v>3.0</v>
      </c>
      <c r="B4" t="s">
        <v>30</v>
      </c>
      <c r="C4" t="s">
        <v>2964</v>
      </c>
      <c r="D4" t="s">
        <v>2965</v>
      </c>
    </row>
    <row r="5" spans="8:8">
      <c r="A5">
        <v>4.0</v>
      </c>
      <c r="B5" t="s">
        <v>30</v>
      </c>
      <c r="C5" t="s">
        <v>2966</v>
      </c>
      <c r="D5" t="s">
        <v>2967</v>
      </c>
    </row>
    <row r="6" spans="8:8">
      <c r="A6">
        <v>5.0</v>
      </c>
      <c r="B6" t="s">
        <v>30</v>
      </c>
      <c r="C6" t="s">
        <v>2968</v>
      </c>
      <c r="D6" t="s">
        <v>2969</v>
      </c>
    </row>
    <row r="7" spans="8:8">
      <c r="A7">
        <v>6.0</v>
      </c>
      <c r="B7" t="s">
        <v>30</v>
      </c>
      <c r="C7" t="s">
        <v>2970</v>
      </c>
      <c r="D7" t="s">
        <v>2971</v>
      </c>
    </row>
    <row r="8" spans="8:8">
      <c r="A8">
        <v>7.0</v>
      </c>
      <c r="B8" t="s">
        <v>42</v>
      </c>
      <c r="C8" t="s">
        <v>1256</v>
      </c>
      <c r="D8" t="s">
        <v>2972</v>
      </c>
    </row>
    <row r="9" spans="8:8">
      <c r="A9">
        <v>8.0</v>
      </c>
      <c r="B9" t="s">
        <v>30</v>
      </c>
      <c r="C9" t="s">
        <v>2973</v>
      </c>
      <c r="D9" t="s">
        <v>2974</v>
      </c>
    </row>
    <row r="10" spans="8:8">
      <c r="A10">
        <v>9.0</v>
      </c>
      <c r="B10" t="s">
        <v>30</v>
      </c>
      <c r="C10" t="s">
        <v>2975</v>
      </c>
      <c r="D10" t="s">
        <v>2976</v>
      </c>
    </row>
    <row r="11" spans="8:8">
      <c r="A11">
        <v>10.0</v>
      </c>
      <c r="B11" t="s">
        <v>36</v>
      </c>
      <c r="C11" t="s">
        <v>2977</v>
      </c>
      <c r="D11" t="s">
        <v>2978</v>
      </c>
    </row>
    <row r="12" spans="8:8">
      <c r="A12">
        <v>11.0</v>
      </c>
      <c r="B12" t="s">
        <v>30</v>
      </c>
      <c r="C12" t="s">
        <v>2979</v>
      </c>
      <c r="D12" t="s">
        <v>2980</v>
      </c>
    </row>
    <row r="13" spans="8:8">
      <c r="A13">
        <v>12.0</v>
      </c>
      <c r="B13" t="s">
        <v>33</v>
      </c>
      <c r="C13" t="s">
        <v>2981</v>
      </c>
      <c r="D13" t="s">
        <v>2982</v>
      </c>
    </row>
    <row r="14" spans="8:8">
      <c r="A14">
        <v>13.0</v>
      </c>
      <c r="B14" t="s">
        <v>42</v>
      </c>
      <c r="C14" t="s">
        <v>1924</v>
      </c>
      <c r="D14" t="s">
        <v>2983</v>
      </c>
    </row>
    <row r="15" spans="8:8">
      <c r="A15">
        <v>14.0</v>
      </c>
      <c r="B15" t="s">
        <v>36</v>
      </c>
      <c r="C15" t="s">
        <v>2984</v>
      </c>
      <c r="D15" t="s">
        <v>2985</v>
      </c>
    </row>
    <row r="16" spans="8:8">
      <c r="A16">
        <v>15.0</v>
      </c>
      <c r="B16" t="s">
        <v>36</v>
      </c>
      <c r="C16" t="s">
        <v>2986</v>
      </c>
      <c r="D16" t="s">
        <v>2987</v>
      </c>
    </row>
    <row r="17" spans="8:8">
      <c r="A17">
        <v>16.0</v>
      </c>
      <c r="B17" t="s">
        <v>36</v>
      </c>
      <c r="C17" t="s">
        <v>2988</v>
      </c>
      <c r="D17" t="s">
        <v>2989</v>
      </c>
    </row>
    <row r="18" spans="8:8" ht="27.0">
      <c r="A18">
        <v>17.0</v>
      </c>
      <c r="B18" t="s">
        <v>39</v>
      </c>
      <c r="C18" t="s">
        <v>2990</v>
      </c>
      <c r="D18" s="3" t="s">
        <v>2991</v>
      </c>
    </row>
    <row r="19" spans="8:8">
      <c r="A19">
        <v>18.0</v>
      </c>
      <c r="B19" t="s">
        <v>36</v>
      </c>
      <c r="C19" t="s">
        <v>2992</v>
      </c>
      <c r="D19" t="s">
        <v>2993</v>
      </c>
    </row>
    <row r="20" spans="8:8">
      <c r="A20">
        <v>19.0</v>
      </c>
      <c r="B20" t="s">
        <v>36</v>
      </c>
      <c r="C20" t="s">
        <v>1891</v>
      </c>
      <c r="D20" t="s">
        <v>2994</v>
      </c>
    </row>
    <row r="21" spans="8:8">
      <c r="A21">
        <v>20.0</v>
      </c>
      <c r="B21" t="s">
        <v>39</v>
      </c>
      <c r="C21" t="s">
        <v>2995</v>
      </c>
      <c r="D21" t="s">
        <v>2996</v>
      </c>
    </row>
    <row r="22" spans="8:8">
      <c r="A22">
        <v>21.0</v>
      </c>
      <c r="B22" t="s">
        <v>39</v>
      </c>
      <c r="C22" t="s">
        <v>2997</v>
      </c>
      <c r="D22" t="s">
        <v>2998</v>
      </c>
    </row>
    <row r="23" spans="8:8">
      <c r="A23">
        <v>22.0</v>
      </c>
      <c r="B23" t="s">
        <v>30</v>
      </c>
      <c r="C23" t="s">
        <v>2999</v>
      </c>
      <c r="D23" t="s">
        <v>3000</v>
      </c>
    </row>
    <row r="24" spans="8:8">
      <c r="A24">
        <v>23.0</v>
      </c>
      <c r="B24" t="s">
        <v>39</v>
      </c>
      <c r="C24" t="s">
        <v>3001</v>
      </c>
      <c r="D24" t="s">
        <v>3002</v>
      </c>
    </row>
    <row r="25" spans="8:8">
      <c r="A25">
        <v>24.0</v>
      </c>
      <c r="B25" t="s">
        <v>39</v>
      </c>
      <c r="C25" t="s">
        <v>3003</v>
      </c>
      <c r="D25" t="s">
        <v>3004</v>
      </c>
    </row>
    <row r="26" spans="8:8">
      <c r="A26">
        <v>25.0</v>
      </c>
      <c r="B26" t="s">
        <v>30</v>
      </c>
      <c r="C26" t="s">
        <v>3005</v>
      </c>
      <c r="D26" t="s">
        <v>3006</v>
      </c>
    </row>
    <row r="27" spans="8:8">
      <c r="A27">
        <v>26.0</v>
      </c>
      <c r="B27" t="s">
        <v>42</v>
      </c>
      <c r="C27" t="s">
        <v>3007</v>
      </c>
      <c r="E27" t="s">
        <v>54</v>
      </c>
    </row>
    <row r="28" spans="8:8">
      <c r="A28">
        <v>27.0</v>
      </c>
      <c r="B28" t="s">
        <v>39</v>
      </c>
      <c r="C28" t="s">
        <v>3008</v>
      </c>
      <c r="E28" t="s">
        <v>54</v>
      </c>
    </row>
    <row r="29" spans="8:8">
      <c r="A29">
        <v>28.0</v>
      </c>
      <c r="B29" t="s">
        <v>39</v>
      </c>
      <c r="C29" t="s">
        <v>3009</v>
      </c>
      <c r="E29" t="s">
        <v>54</v>
      </c>
    </row>
    <row r="30" spans="8:8">
      <c r="A30">
        <v>29.0</v>
      </c>
      <c r="B30" t="s">
        <v>42</v>
      </c>
      <c r="C30" t="s">
        <v>3010</v>
      </c>
      <c r="E30" t="s">
        <v>54</v>
      </c>
    </row>
    <row r="31" spans="8:8">
      <c r="A31">
        <v>30.0</v>
      </c>
      <c r="B31" t="s">
        <v>30</v>
      </c>
      <c r="C31" t="s">
        <v>3011</v>
      </c>
      <c r="D31" s="1" t="s">
        <v>3012</v>
      </c>
    </row>
    <row r="32" spans="8:8">
      <c r="A32">
        <v>31.0</v>
      </c>
      <c r="B32" t="s">
        <v>30</v>
      </c>
      <c r="C32" t="s">
        <v>3013</v>
      </c>
      <c r="D32" t="s">
        <v>3014</v>
      </c>
    </row>
    <row r="33" spans="8:8">
      <c r="A33">
        <v>32.0</v>
      </c>
      <c r="B33" t="s">
        <v>30</v>
      </c>
      <c r="C33" t="s">
        <v>3015</v>
      </c>
      <c r="D33" t="s">
        <v>3016</v>
      </c>
    </row>
  </sheetData>
  <sheetProtection sheet="0" formatCells="0" insertHyperlinks="0" autoFilter="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ixelators xmlns="https://web.wps.cn/et/2018/main" xmlns:s="http://schemas.openxmlformats.org/spreadsheetml/2006/main">
  <pixelatorList sheetStid="9"/>
  <pixelatorList sheetStid="11"/>
  <pixelatorList sheetStid="1"/>
  <pixelatorList sheetStid="2"/>
  <pixelatorList sheetStid="3"/>
  <pixelatorList sheetStid="4"/>
  <pixelatorList sheetStid="5"/>
  <pixelatorList sheetStid="6"/>
  <pixelatorList sheetStid="7"/>
  <pixelatorList sheetStid="8"/>
  <pixelatorList sheetStid="12"/>
</pixelators>
</file>

<file path=customXml/item2.xml><?xml version="1.0" encoding="utf-8"?>
<autofilters xmlns="https://web.wps.cn/et/2018/main">
  <sheetItem sheetStid="2">
    <filterData filterID="251907898">
      <hiddenRange rowFrom="6" rowTo="25"/>
      <hiddenRange rowFrom="27" rowTo="30"/>
      <hiddenRange rowFrom="32" rowTo="37"/>
      <hiddenRange rowFrom="39" rowTo="45"/>
      <hiddenRange rowFrom="49" rowTo="49"/>
      <hiddenRange rowFrom="52" rowTo="56"/>
      <hiddenRange rowFrom="58" rowTo="59"/>
      <hiddenRange rowFrom="61" rowTo="66"/>
      <hiddenRange rowFrom="68" rowTo="70"/>
      <hiddenRange rowFrom="72" rowTo="74"/>
      <hiddenRange rowFrom="76" rowTo="77"/>
      <hiddenRange rowFrom="79" rowTo="79"/>
      <hiddenRange rowFrom="81" rowTo="81"/>
      <hiddenRange rowFrom="83" rowTo="84"/>
      <hiddenRange rowFrom="86" rowTo="86"/>
      <hiddenRange rowFrom="88" rowTo="88"/>
      <hiddenRange rowFrom="93" rowTo="95"/>
      <hiddenRange rowFrom="99" rowTo="100"/>
      <hiddenRange rowFrom="102" rowTo="102"/>
      <hiddenRange rowFrom="105" rowTo="115"/>
      <hiddenRange rowFrom="119" rowTo="134"/>
      <hiddenRange rowFrom="136" rowTo="136"/>
      <hiddenRange rowFrom="138" rowTo="141"/>
      <hiddenRange rowFrom="146" rowTo="148"/>
      <hiddenRange rowFrom="150" rowTo="150"/>
      <hiddenRange rowFrom="152" rowTo="152"/>
      <hiddenRange rowFrom="157" rowTo="163"/>
      <hiddenRange rowFrom="165" rowTo="166"/>
      <hiddenRange rowFrom="168" rowTo="169"/>
      <hiddenRange rowFrom="173" rowTo="173"/>
      <hiddenRange rowFrom="176" rowTo="177"/>
      <hiddenRange rowFrom="180" rowTo="180"/>
      <hiddenRange rowFrom="182" rowTo="182"/>
      <hiddenRange rowFrom="184" rowTo="184"/>
      <hiddenRange rowFrom="186" rowTo="186"/>
      <hiddenRange rowFrom="189" rowTo="189"/>
      <hiddenRange rowFrom="191" rowTo="191"/>
      <hiddenRange rowFrom="193" rowTo="198"/>
      <hiddenRange rowFrom="203" rowTo="203"/>
      <hiddenRange rowFrom="206" rowTo="206"/>
      <hiddenRange rowFrom="209" rowTo="210"/>
      <hiddenRange rowFrom="213" rowTo="213"/>
      <hiddenRange rowFrom="216" rowTo="217"/>
      <hiddenRange rowFrom="220" rowTo="227"/>
      <hiddenRange rowFrom="230" rowTo="230"/>
      <hiddenRange rowFrom="232" rowTo="234"/>
      <hiddenRange rowFrom="237" rowTo="238"/>
      <hiddenRange rowFrom="241" rowTo="249"/>
      <hiddenRange rowFrom="253" rowTo="253"/>
      <hiddenRange rowFrom="255" rowTo="292"/>
      <hiddenRange rowFrom="294" rowTo="313"/>
      <hiddenRange rowFrom="316" rowTo="321"/>
    </filterData>
    <filterData filterID="1360844801"/>
    <autofilterInfo filterID="251907898">
      <autoFilter xmlns="http://schemas.openxmlformats.org/spreadsheetml/2006/main" ref="B1:B421">
        <filterColumn colId="0">
          <customFilters>
            <customFilter operator="equal" val="概念"/>
          </customFilters>
        </filterColumn>
      </autoFilter>
    </autofilterInfo>
  </sheetItem>
  <sheetItem sheetStid="3">
    <filterData filterID="670713707"/>
    <filterData filterID="251907898">
      <hiddenRange rowFrom="1" rowTo="42"/>
      <hiddenRange rowFrom="44" rowTo="47"/>
      <hiddenRange rowFrom="49" rowTo="49"/>
      <hiddenRange rowFrom="51" rowTo="53"/>
      <hiddenRange rowFrom="55" rowTo="55"/>
      <hiddenRange rowFrom="57" rowTo="57"/>
      <hiddenRange rowFrom="59" rowTo="60"/>
      <hiddenRange rowFrom="63" rowTo="65"/>
      <hiddenRange rowFrom="67" rowTo="67"/>
      <hiddenRange rowFrom="73" rowTo="77"/>
      <hiddenRange rowFrom="135" rowTo="356"/>
      <hiddenRange rowFrom="358" rowTo="365"/>
      <hiddenRange rowFrom="367" rowTo="474"/>
      <hiddenRange rowFrom="477" rowTo="486"/>
      <hiddenRange rowFrom="489" rowTo="489"/>
      <hiddenRange rowFrom="492" rowTo="493"/>
      <hiddenRange rowFrom="495" rowTo="496"/>
      <hiddenRange rowFrom="498" rowTo="504"/>
      <hiddenRange rowFrom="510" rowTo="511"/>
      <hiddenRange rowFrom="513" rowTo="515"/>
      <hiddenRange rowFrom="517" rowTo="517"/>
      <hiddenRange rowFrom="520" rowTo="524"/>
      <hiddenRange rowFrom="527" rowTo="527"/>
      <hiddenRange rowFrom="530" rowTo="534"/>
      <hiddenRange rowFrom="538" rowTo="538"/>
      <hiddenRange rowFrom="541" rowTo="548"/>
      <hiddenRange rowFrom="550" rowTo="552"/>
      <hiddenRange rowFrom="554" rowTo="565"/>
      <hiddenRange rowFrom="567" rowTo="587"/>
      <hiddenRange rowFrom="590" rowTo="597"/>
      <hiddenRange rowFrom="601" rowTo="601"/>
    </filterData>
    <filterData filterID="1360844801"/>
    <autofilterInfo filterID="251907898">
      <autoFilter xmlns="http://schemas.openxmlformats.org/spreadsheetml/2006/main" ref="A1:E602">
        <filterColumn colId="1">
          <customFilters>
            <customFilter operator="equal" val="生物"/>
          </customFilters>
        </filterColumn>
      </autoFilter>
    </autofilterInfo>
  </sheetItem>
  <sheetItem sheetStid="4">
    <filterData filterID="670713707">
      <hiddenRange rowFrom="1" rowTo="7"/>
      <hiddenRange rowFrom="31" rowTo="125"/>
      <hiddenRange rowFrom="138" rowTo="301"/>
      <hiddenRange rowFrom="303" rowTo="315"/>
      <hiddenRange rowFrom="317" rowTo="320"/>
      <hiddenRange rowFrom="323" rowTo="325"/>
      <hiddenRange rowFrom="327" rowTo="327"/>
      <hiddenRange rowFrom="329" rowTo="345"/>
      <hiddenRange rowFrom="353" rowTo="354"/>
      <hiddenRange rowFrom="356" rowTo="356"/>
      <hiddenRange rowFrom="360" rowTo="360"/>
      <hiddenRange rowFrom="362" rowTo="366"/>
      <hiddenRange rowFrom="368" rowTo="368"/>
      <hiddenRange rowFrom="370" rowTo="374"/>
      <hiddenRange rowFrom="376" rowTo="377"/>
      <hiddenRange rowFrom="381" rowTo="385"/>
      <hiddenRange rowFrom="387" rowTo="387"/>
      <hiddenRange rowFrom="389" rowTo="389"/>
      <hiddenRange rowFrom="392" rowTo="392"/>
      <hiddenRange rowFrom="400" rowTo="402"/>
      <hiddenRange rowFrom="404" rowTo="406"/>
      <hiddenRange rowFrom="408" rowTo="411"/>
      <hiddenRange rowFrom="413" rowTo="415"/>
      <hiddenRange rowFrom="417" rowTo="424"/>
      <hiddenRange rowFrom="427" rowTo="427"/>
      <hiddenRange rowFrom="430" rowTo="440"/>
      <hiddenRange rowFrom="442" rowTo="454"/>
      <hiddenRange rowFrom="459" rowTo="460"/>
      <hiddenRange rowFrom="463" rowTo="467"/>
      <hiddenRange rowFrom="471" rowTo="474"/>
      <hiddenRange rowFrom="478" rowTo="478"/>
    </filterData>
    <filterData filterID="251907898">
      <hiddenRange rowFrom="1" rowTo="92"/>
      <hiddenRange rowFrom="126" rowTo="300"/>
      <hiddenRange rowFrom="302" rowTo="302"/>
      <hiddenRange rowFrom="304" rowTo="306"/>
      <hiddenRange rowFrom="308" rowTo="312"/>
      <hiddenRange rowFrom="314" rowTo="318"/>
      <hiddenRange rowFrom="320" rowTo="323"/>
      <hiddenRange rowFrom="326" rowTo="329"/>
      <hiddenRange rowFrom="332" rowTo="363"/>
      <hiddenRange rowFrom="366" rowTo="372"/>
      <hiddenRange rowFrom="375" rowTo="375"/>
      <hiddenRange rowFrom="377" rowTo="430"/>
      <hiddenRange rowFrom="432" rowTo="435"/>
      <hiddenRange rowFrom="437" rowTo="443"/>
      <hiddenRange rowFrom="445" rowTo="446"/>
      <hiddenRange rowFrom="448" rowTo="478"/>
    </filterData>
    <filterData filterID="1360844801"/>
    <autofilterInfo filterID="670713707">
      <autoFilter xmlns="http://schemas.openxmlformats.org/spreadsheetml/2006/main" ref="B1:B479">
        <filterColumn colId="0">
          <customFilters>
            <customFilter operator="equal" val="概念"/>
          </customFilters>
        </filterColumn>
      </autoFilter>
    </autofilterInfo>
    <autofilterInfo filterID="251907898">
      <autoFilter xmlns="http://schemas.openxmlformats.org/spreadsheetml/2006/main" ref="B1:B479">
        <filterColumn colId="0">
          <customFilters>
            <customFilter operator="equal" val="器物"/>
          </customFilters>
        </filterColumn>
      </autoFilter>
    </autofilterInfo>
  </sheetItem>
  <sheetItem sheetStid="5">
    <filterData filterID="670713707">
      <hiddenRange rowFrom="1" rowTo="124"/>
      <hiddenRange rowFrom="158" rowTo="163"/>
      <hiddenRange rowFrom="166" rowTo="184"/>
      <hiddenRange rowFrom="186" rowTo="189"/>
      <hiddenRange rowFrom="191" rowTo="191"/>
      <hiddenRange rowFrom="194" rowTo="195"/>
      <hiddenRange rowFrom="198" rowTo="200"/>
      <hiddenRange rowFrom="204" rowTo="206"/>
      <hiddenRange rowFrom="208" rowTo="216"/>
      <hiddenRange rowFrom="219" rowTo="219"/>
      <hiddenRange rowFrom="222" rowTo="222"/>
      <hiddenRange rowFrom="225" rowTo="225"/>
      <hiddenRange rowFrom="228" rowTo="228"/>
    </filterData>
    <filterData filterID="251907898">
      <hiddenRange rowFrom="1" rowTo="83"/>
      <hiddenRange rowFrom="125" rowTo="157"/>
      <hiddenRange rowFrom="159" rowTo="160"/>
      <hiddenRange rowFrom="164" rowTo="165"/>
      <hiddenRange rowFrom="167" rowTo="169"/>
      <hiddenRange rowFrom="178" rowTo="178"/>
      <hiddenRange rowFrom="180" rowTo="182"/>
      <hiddenRange rowFrom="184" rowTo="185"/>
      <hiddenRange rowFrom="187" rowTo="188"/>
      <hiddenRange rowFrom="190" rowTo="193"/>
      <hiddenRange rowFrom="196" rowTo="197"/>
      <hiddenRange rowFrom="199" rowTo="199"/>
      <hiddenRange rowFrom="201" rowTo="203"/>
      <hiddenRange rowFrom="206" rowTo="208"/>
      <hiddenRange rowFrom="210" rowTo="210"/>
      <hiddenRange rowFrom="212" rowTo="212"/>
      <hiddenRange rowFrom="217" rowTo="218"/>
      <hiddenRange rowFrom="220" rowTo="221"/>
      <hiddenRange rowFrom="223" rowTo="227"/>
      <hiddenRange rowFrom="229" rowTo="231"/>
    </filterData>
    <filterData filterID="1360844801"/>
    <autofilterInfo filterID="670713707">
      <autoFilter xmlns="http://schemas.openxmlformats.org/spreadsheetml/2006/main" ref="B1:B232">
        <filterColumn colId="0">
          <customFilters>
            <customFilter operator="equal" val="概念"/>
          </customFilters>
        </filterColumn>
      </autoFilter>
    </autofilterInfo>
    <autofilterInfo filterID="251907898">
      <autoFilter xmlns="http://schemas.openxmlformats.org/spreadsheetml/2006/main" ref="B1:B232">
        <filterColumn colId="0">
          <customFilters>
            <customFilter operator="equal" val="事件"/>
          </customFilters>
        </filterColumn>
      </autoFilter>
    </autofilterInfo>
  </sheetItem>
  <sheetItem sheetStid="6">
    <filterData filterID="670713707"/>
    <filterData filterID="251907898">
      <hiddenRange rowFrom="1" rowTo="29"/>
      <hiddenRange rowFrom="31" rowTo="31"/>
      <hiddenRange rowFrom="33" rowTo="38"/>
      <hiddenRange rowFrom="40" rowTo="42"/>
      <hiddenRange rowFrom="45" rowTo="49"/>
      <hiddenRange rowFrom="51" rowTo="88"/>
      <hiddenRange rowFrom="90" rowTo="99"/>
      <hiddenRange rowFrom="102" rowTo="102"/>
    </filterData>
    <filterData filterID="1360844801"/>
    <autofilterInfo filterID="251907898">
      <autoFilter xmlns="http://schemas.openxmlformats.org/spreadsheetml/2006/main" ref="A1:E103">
        <filterColumn colId="1">
          <customFilters>
            <customFilter operator="equal" val="场所"/>
          </customFilters>
        </filterColumn>
      </autoFilter>
    </autofilterInfo>
  </sheetItem>
  <sheetItem sheetStid="7">
    <filterData filterID="251907898"/>
  </sheetItem>
</autofilters>
</file>

<file path=customXml/item3.xml><?xml version="1.0" encoding="utf-8"?>
<allowEditUser xmlns="https://web.wps.cn/et/2018/main" xmlns:s="http://schemas.openxmlformats.org/spreadsheetml/2006/main" hasInvisiblePropRange="0">
  <rangeList sheetStid="9" master="199983830"/>
  <rangeList sheetStid="11" master="199983830"/>
  <rangeList sheetStid="1" master="199983830"/>
  <rangeList sheetStid="2" master=""/>
  <rangeList sheetStid="3" master=""/>
  <rangeList sheetStid="4" master=""/>
  <rangeList sheetStid="5" master=""/>
  <rangeList sheetStid="6" master=""/>
  <rangeList sheetStid="7" master=""/>
  <rangeList sheetStid="8" master=""/>
</allowEditUser>
</file>

<file path=customXml/item4.xml><?xml version="1.0" encoding="utf-8"?>
<woProps xmlns="https://web.wps.cn/et/2018/main" xmlns:s="http://schemas.openxmlformats.org/spreadsheetml/2006/main">
  <woSheetsProps>
    <woSheetProps sheetStid="9" interlineOnOff="0" interlineColor="0" isDbSheet="0"/>
    <woSheetProps sheetStid="11" interlineOnOff="0" interlineColor="0" isDbSheet="0"/>
    <woSheetProps sheetStid="1" interlineOnOff="0" interlineColor="0" isDbSheet="0"/>
    <woSheetProps sheetStid="2" interlineOnOff="0" interlineColor="0" isDbSheet="0"/>
    <woSheetProps sheetStid="3" interlineOnOff="0" interlineColor="0" isDbSheet="0"/>
    <woSheetProps sheetStid="4" interlineOnOff="0" interlineColor="0" isDbSheet="0"/>
    <woSheetProps sheetStid="5" interlineOnOff="0" interlineColor="0" isDbSheet="0"/>
    <woSheetProps sheetStid="6" interlineOnOff="0" interlineColor="0" isDbSheet="0"/>
    <woSheetProps sheetStid="7" interlineOnOff="0" interlineColor="0" isDbSheet="0"/>
    <woSheetProps sheetStid="8" interlineOnOff="0" interlineColor="0" isDbSheet="0"/>
  </woSheetsProps>
  <woBookProps>
    <bookSettings isFilterShared="0" isAutoUpdatePaused="0" filterType="user" isMergeTasksAutoUpdate="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Redmi Note 4X</dc:creator>
  <cp:lastModifiedBy>喵喵酱</cp:lastModifiedBy>
  <dcterms:created xsi:type="dcterms:W3CDTF">2020-03-17T09:29:00Z</dcterms:created>
  <dcterms:modified xsi:type="dcterms:W3CDTF">2026-07-10T06:27:42Z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2052-12.9.0.17882</vt:lpwstr>
  </property>
  <property fmtid="{D5CDD505-2E9C-101B-9397-08002B2CF9AE}" pid="3" name="ICV">
    <vt:lpwstr>412DC7D2D7A349109EC8F8DF95392D73</vt:lpwstr>
  </property>
</Properties>
</file>